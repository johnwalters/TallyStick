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90ce91b2c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b48ccadf99e4308"/>
    <x:sheet xmlns:r="http://schemas.openxmlformats.org/officeDocument/2006/relationships" name="Checks" sheetId="2" r:id="Re7f75e8c08f0466d"/>
    <x:sheet xmlns:r="http://schemas.openxmlformats.org/officeDocument/2006/relationships" name="Financial Accounts" sheetId="3" r:id="Rac7cd93f910544f4"/>
    <x:sheet xmlns:r="http://schemas.openxmlformats.org/officeDocument/2006/relationships" name="Chart of Accounts" sheetId="4" r:id="Rf77d589d6c3f4b89"/>
    <x:sheet xmlns:r="http://schemas.openxmlformats.org/officeDocument/2006/relationships" name="Transactions" sheetId="5" r:id="Re515e5eef8ac4c76"/>
    <x:sheet xmlns:r="http://schemas.openxmlformats.org/officeDocument/2006/relationships" name="Posting Splits" sheetId="6" r:id="Rc6115b4c3bf2496a"/>
    <x:sheet xmlns:r="http://schemas.openxmlformats.org/officeDocument/2006/relationships" name="Balance Sheets" sheetId="7" r:id="Rd9857a81d7b14e61"/>
    <x:sheet xmlns:r="http://schemas.openxmlformats.org/officeDocument/2006/relationships" name="Profit and Loss" sheetId="8" r:id="R22b9c602ef294e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;[Red](#,##0);-"/>
    <x:numFmt numFmtId="202" formatCode="$#,##0.00;[Red]($#,##0.00);-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</x:fills>
  <x:borders count="9">
    <x:border/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top style="thin">
        <x:color rgb="FFA6A6A6"/>
      </x:top>
    </x:border>
    <x:border>
      <x:bottom style="thin">
        <x:color rgb="FFA6A6A6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7" xfId="0" applyNumberFormat="1" applyFont="1" applyFill="1" applyBorder="1"/>
    <x:xf numFmtId="0" fontId="4" fillId="5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8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d6663d4641435f" /><Relationship Type="http://schemas.openxmlformats.org/officeDocument/2006/relationships/theme" Target="/xl/theme/theme1.xml" Id="Rdefad41da05743e5" /><Relationship Type="http://schemas.microsoft.com/office/2022/11/relationships/FeaturePropertyBag" Target="/xl/featurePropertyBag/featurePropertyBag.xml" Id="R42e82a9ae5764b24" /><Relationship Type="http://schemas.openxmlformats.org/officeDocument/2006/relationships/sharedStrings" Target="/xl/sharedStrings.xml" Id="Rc413fede0b974f52" /><Relationship Type="http://schemas.openxmlformats.org/officeDocument/2006/relationships/worksheet" Target="/xl/worksheets/sheet1.xml" Id="R1b48ccadf99e4308" /><Relationship Type="http://schemas.openxmlformats.org/officeDocument/2006/relationships/worksheet" Target="/xl/worksheets/sheet2.xml" Id="Re7f75e8c08f0466d" /><Relationship Type="http://schemas.openxmlformats.org/officeDocument/2006/relationships/worksheet" Target="/xl/worksheets/sheet3.xml" Id="Rac7cd93f910544f4" /><Relationship Type="http://schemas.openxmlformats.org/officeDocument/2006/relationships/worksheet" Target="/xl/worksheets/sheet4.xml" Id="Rf77d589d6c3f4b89" /><Relationship Type="http://schemas.openxmlformats.org/officeDocument/2006/relationships/worksheet" Target="/xl/worksheets/sheet5.xml" Id="Re515e5eef8ac4c76" /><Relationship Type="http://schemas.openxmlformats.org/officeDocument/2006/relationships/worksheet" Target="/xl/worksheets/sheet6.xml" Id="Rc6115b4c3bf2496a" /><Relationship Type="http://schemas.openxmlformats.org/officeDocument/2006/relationships/worksheet" Target="/xl/worksheets/sheet7.xml" Id="Rd9857a81d7b14e61" /><Relationship Type="http://schemas.openxmlformats.org/officeDocument/2006/relationships/worksheet" Target="/xl/worksheets/sheet8.xml" Id="R22b9c602ef294e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33000183105469" hidden="0" customWidth="1"/>
    <x:col min="2" max="2" width="70" hidden="0" customWidth="1"/>
  </x:cols>
  <x:sheetData>
    <x:row r="1" ht="30" customHeight="1">
      <x:c r="A1" s="2" t="str">
        <x:v>TallyStick public sample data</x:v>
      </x:c>
      <x:c r="B1" s="2"/>
      <x:c r="C1" s="2"/>
      <x:c r="D1" s="2"/>
      <x:c r="E1" s="2"/>
      <x:c r="F1" s="2"/>
    </x:row>
    <x:row r="3">
      <x:c r="A3" s="5" t="str">
        <x:v>Purpose</x:v>
      </x:c>
      <x:c r="B3" s="6" t="str">
        <x:v>Public-safe two-year accounting fixture and balance-sheet test pack</x:v>
      </x:c>
    </x:row>
    <x:row r="4">
      <x:c r="A4" s="7" t="str">
        <x:v>Company</x:v>
      </x:c>
      <x:c r="B4" s="8" t="str">
        <x:v>Example Outfitters</x:v>
      </x:c>
    </x:row>
    <x:row r="5">
      <x:c r="A5" s="7" t="str">
        <x:v>Currency</x:v>
      </x:c>
      <x:c r="B5" s="8" t="str">
        <x:v>USD</x:v>
      </x:c>
    </x:row>
    <x:row r="6">
      <x:c r="A6" s="7" t="str">
        <x:v>Fiscal year start</x:v>
      </x:c>
      <x:c r="B6" s="8" t="str">
        <x:v>January</x:v>
      </x:c>
    </x:row>
    <x:row r="7">
      <x:c r="A7" s="7" t="str">
        <x:v>Source shapes</x:v>
      </x:c>
      <x:c r="B7" s="8" t="str">
        <x:v>2025/2026 marketplace summaries, bank activity, card activity, inventory adjustments</x:v>
      </x:c>
    </x:row>
    <x:row r="8">
      <x:c r="A8" s="7" t="str">
        <x:v>Privacy</x:v>
      </x:c>
      <x:c r="B8" s="8" t="str">
        <x:v>All names, identifiers, references, and amounts are fictional</x:v>
      </x:c>
    </x:row>
    <x:row r="9">
      <x:c r="A9" s="7" t="str">
        <x:v>2025 as-of</x:v>
      </x:c>
      <x:c r="B9" s="8" t="str">
        <x:v>2025-12-31</x:v>
      </x:c>
    </x:row>
    <x:row r="10">
      <x:c r="A10" s="7" t="str">
        <x:v>2026 as-of</x:v>
      </x:c>
      <x:c r="B10" s="8" t="str">
        <x:v>2026-08-31</x:v>
      </x:c>
    </x:row>
    <x:row r="11">
      <x:c r="A11" s="9" t="str">
        <x:v>Model status</x:v>
      </x:c>
      <x:c r="B11" s="10" t="str">
        <x:f>'Checks'!B2</x:f>
        <x:v>PASS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4" hidden="0" customWidth="1"/>
  </x:cols>
  <x:sheetData>
    <x:row r="1" ht="28" customHeight="1">
      <x:c r="A1" s="12" t="str">
        <x:v>Validation checks</x:v>
      </x:c>
      <x:c r="B1" s="12"/>
      <x:c r="C1" s="12"/>
      <x:c r="D1" s="12"/>
      <x:c r="E1" s="12"/>
      <x:c r="F1" s="12"/>
      <x:c r="G1" s="12"/>
    </x:row>
    <x:row r="2">
      <x:c r="A2" s="14" t="str">
        <x:v>MODEL STATUS</x:v>
      </x:c>
      <x:c r="B2" s="14" t="str">
        <x:f>IF(COUNTIF(F6:F11,"FAIL")=0,"PASS","FAIL")</x:f>
        <x:v>PASS</x:v>
      </x:c>
    </x:row>
    <x:row r="5" ht="30" customHeight="1">
      <x:c r="A5" s="17" t="str">
        <x:v>Check</x:v>
      </x:c>
      <x:c r="B5" s="24" t="str">
        <x:v>Actual</x:v>
      </x:c>
      <x:c r="C5" s="24" t="str">
        <x:v>Expected</x:v>
      </x:c>
      <x:c r="D5" s="24" t="str">
        <x:v>Difference</x:v>
      </x:c>
      <x:c r="E5" s="24" t="str">
        <x:v>Tolerance</x:v>
      </x:c>
      <x:c r="F5" s="24" t="str">
        <x:v>Status</x:v>
      </x:c>
      <x:c r="G5" s="19" t="str">
        <x:v>Notes</x:v>
      </x:c>
    </x:row>
    <x:row r="6">
      <x:c r="A6" s="20" t="str">
        <x:v>2025 Balance Sheet difference</x:v>
      </x:c>
      <x:c r="B6" s="21" t="n">
        <x:f>SUMIFS('Balance Sheets'!$G$2:$G$48,'Balance Sheets'!$A$2:$A$48,DATE(2025,12,31),'Balance Sheets'!$E$2:$E$48,"DIFFERENCE")</x:f>
        <x:v>0</x:v>
      </x:c>
      <x:c r="C6" s="21" t="n">
        <x:v>0</x:v>
      </x:c>
      <x:c r="D6" s="21" t="n">
        <x:f>B6-C6</x:f>
        <x:v>0</x:v>
      </x:c>
      <x:c r="E6" s="21" t="n">
        <x:v>0</x:v>
      </x:c>
      <x:c r="F6" s="21" t="str">
        <x:f>IF(ABS(D6)&lt;=E6,"OK","FAIL")</x:f>
        <x:v>OK</x:v>
      </x:c>
      <x:c r="G6" s="8" t="str">
        <x:v>Assets minus liabilities and equity</x:v>
      </x:c>
    </x:row>
    <x:row r="7">
      <x:c r="A7" s="20" t="str">
        <x:v>2026 Balance Sheet difference</x:v>
      </x:c>
      <x:c r="B7" s="21" t="n">
        <x:f>SUMIFS('Balance Sheets'!$G$2:$G$48,'Balance Sheets'!$A$2:$A$48,DATE(2026,8,31),'Balance Sheets'!$E$2:$E$48,"DIFFERENCE")</x:f>
        <x:v>0</x:v>
      </x:c>
      <x:c r="C7" s="21" t="n">
        <x:v>0</x:v>
      </x:c>
      <x:c r="D7" s="21" t="n">
        <x:f>B7-C7</x:f>
        <x:v>0</x:v>
      </x:c>
      <x:c r="E7" s="21" t="n">
        <x:v>0</x:v>
      </x:c>
      <x:c r="F7" s="21" t="str">
        <x:f>IF(ABS(D7)&lt;=E7,"OK","FAIL")</x:f>
        <x:v>OK</x:v>
      </x:c>
      <x:c r="G7" s="8" t="str">
        <x:v>Assets minus liabilities and equity</x:v>
      </x:c>
    </x:row>
    <x:row r="8">
      <x:c r="A8" s="20" t="str">
        <x:v>2025 current earnings ties to P/L</x:v>
      </x:c>
      <x:c r="B8" s="21" t="n">
        <x:f>SUMIFS('Balance Sheets'!$G$2:$G$48,'Balance Sheets'!$A$2:$A$48,DATE(2025,12,31),'Balance Sheets'!$D$2:$D$48,"Current Earnings")</x:f>
        <x:v>7517560</x:v>
      </x:c>
      <x:c r="C8" s="21" t="n">
        <x:f>SUMIFS('Profit and Loss'!$G$2:$G$38,'Profit and Loss'!$B$2:$B$38,DATE(2025,12,31),'Profit and Loss'!$E$2:$E$38,"NET_PROFIT")</x:f>
        <x:v>7517560</x:v>
      </x:c>
      <x:c r="D8" s="21" t="n">
        <x:f>B8-C8</x:f>
        <x:v>0</x:v>
      </x:c>
      <x:c r="E8" s="21" t="n">
        <x:v>0</x:v>
      </x:c>
      <x:c r="F8" s="21" t="str">
        <x:f>IF(ABS(D8)&lt;=E8,"OK","FAIL")</x:f>
        <x:v>OK</x:v>
      </x:c>
      <x:c r="G8" s="8" t="str">
        <x:v>Current Earnings equals 2025 net profit</x:v>
      </x:c>
    </x:row>
    <x:row r="9">
      <x:c r="A9" s="20" t="str">
        <x:v>2026 current earnings ties to P/L</x:v>
      </x:c>
      <x:c r="B9" s="21" t="n">
        <x:f>SUMIFS('Balance Sheets'!$G$2:$G$48,'Balance Sheets'!$A$2:$A$48,DATE(2026,8,31),'Balance Sheets'!$D$2:$D$48,"Current Earnings")</x:f>
        <x:v>3869780</x:v>
      </x:c>
      <x:c r="C9" s="21" t="n">
        <x:f>SUMIFS('Profit and Loss'!$G$2:$G$38,'Profit and Loss'!$B$2:$B$38,DATE(2026,8,31),'Profit and Loss'!$E$2:$E$38,"NET_PROFIT")</x:f>
        <x:v>3869780</x:v>
      </x:c>
      <x:c r="D9" s="21" t="n">
        <x:f>B9-C9</x:f>
        <x:v>0</x:v>
      </x:c>
      <x:c r="E9" s="21" t="n">
        <x:v>0</x:v>
      </x:c>
      <x:c r="F9" s="21" t="str">
        <x:f>IF(ABS(D9)&lt;=E9,"OK","FAIL")</x:f>
        <x:v>OK</x:v>
      </x:c>
      <x:c r="G9" s="8" t="str">
        <x:v>Current Earnings equals 2026 YTD net profit</x:v>
      </x:c>
    </x:row>
    <x:row r="10">
      <x:c r="A10" s="20" t="str">
        <x:v>2026 retained earnings ties to 2025</x:v>
      </x:c>
      <x:c r="B10" s="21" t="n">
        <x:f>SUMIFS('Balance Sheets'!$G$2:$G$48,'Balance Sheets'!$A$2:$A$48,DATE(2026,8,31),'Balance Sheets'!$D$2:$D$48,"Retained Earnings")</x:f>
        <x:v>7517560</x:v>
      </x:c>
      <x:c r="C10" s="21" t="n">
        <x:f>C8</x:f>
        <x:v>7517560</x:v>
      </x:c>
      <x:c r="D10" s="21" t="n">
        <x:f>B10-C10</x:f>
        <x:v>0</x:v>
      </x:c>
      <x:c r="E10" s="21" t="n">
        <x:v>0</x:v>
      </x:c>
      <x:c r="F10" s="21" t="str">
        <x:f>IF(ABS(D10)&lt;=E10,"OK","FAIL")</x:f>
        <x:v>OK</x:v>
      </x:c>
      <x:c r="G10" s="8" t="str">
        <x:v>Prior-year profit becomes retained earnings</x:v>
      </x:c>
    </x:row>
    <x:row r="11">
      <x:c r="A11" s="22" t="str">
        <x:v>Posted transaction split checks</x:v>
      </x:c>
      <x:c r="B11" s="23" t="n">
        <x:f>COUNTIF('Transactions'!$O$2:$O$199,"FAIL")</x:f>
        <x:v>0</x:v>
      </x:c>
      <x:c r="C11" s="23" t="n">
        <x:v>0</x:v>
      </x:c>
      <x:c r="D11" s="23" t="n">
        <x:f>B11-C11</x:f>
        <x:v>0</x:v>
      </x:c>
      <x:c r="E11" s="23" t="n">
        <x:v>0</x:v>
      </x:c>
      <x:c r="F11" s="23" t="str">
        <x:f>IF(ABS(D11)&lt;=E11,"OK","FAIL")</x:f>
        <x:v>OK</x:v>
      </x:c>
      <x:c r="G11" s="10" t="str">
        <x:v>Count of failed split-to-transaction checks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44" hidden="0" customWidth="1"/>
  </x:cols>
  <x:sheetData>
    <x:row r="1" ht="32" customHeight="1">
      <x:c r="A1" s="29" t="str">
        <x:v>Financial Account ID</x:v>
      </x:c>
      <x:c r="B1" s="29" t="str">
        <x:v>Name</x:v>
      </x:c>
      <x:c r="C1" s="29" t="str">
        <x:v>Legacy Type</x:v>
      </x:c>
      <x:c r="D1" s="29" t="str">
        <x:v>Legacy Detail Type</x:v>
      </x:c>
      <x:c r="E1" s="29" t="str">
        <x:v>Accounting Account Type</x:v>
      </x:c>
      <x:c r="F1" s="29" t="str">
        <x:v>Account Role</x:v>
      </x:c>
      <x:c r="G1" s="29" t="str">
        <x:v>Import Capability</x:v>
      </x:c>
      <x:c r="H1" s="29" t="str">
        <x:v>Classification Status</x:v>
      </x:c>
      <x:c r="I1" s="29" t="str">
        <x:v>Opening Balance Minor</x:v>
      </x:c>
      <x:c r="J1" s="29" t="str">
        <x:v>Opening Balance Date</x:v>
      </x:c>
      <x:c r="K1" s="29" t="str">
        <x:v>Opening Balance Source</x:v>
      </x:c>
      <x:c r="L1" s="29" t="str">
        <x:v>Archived</x:v>
      </x:c>
      <x:c r="M1" s="29" t="str">
        <x:v>Locked</x:v>
      </x:c>
      <x:c r="N1" s="29" t="str">
        <x:v>Description</x:v>
      </x:c>
    </x:row>
    <x:row r="2">
      <x:c r="A2" s="30" t="str">
        <x:v>fin-bank-operating</x:v>
      </x:c>
      <x:c r="B2" s="30" t="str">
        <x:v>Operating checking</x:v>
      </x:c>
      <x:c r="C2" s="30" t="str">
        <x:v>BANK</x:v>
      </x:c>
      <x:c r="D2" s="30" t="str">
        <x:v>Checking</x:v>
      </x:c>
      <x:c r="E2" s="30" t="str">
        <x:v>BANK</x:v>
      </x:c>
      <x:c r="F2" s="30" t="str">
        <x:v>TRACK_TRANSACTIONS</x:v>
      </x:c>
      <x:c r="G2" s="30" t="str">
        <x:v>CSV_EXCEL_QBO_OFX</x:v>
      </x:c>
      <x:c r="H2" s="30" t="str">
        <x:v>READY</x:v>
      </x:c>
      <x:c r="I2" s="31" t="n">
        <x:v>1200000</x:v>
      </x:c>
      <x:c r="J2" s="32" t="n">
        <x:v>45658</x:v>
      </x:c>
      <x:c r="K2" s="30" t="str">
        <x:v>DERIVED_EQUITY</x:v>
      </x:c>
      <x:c r="L2" s="33" t="b">
        <x:v>0</x:v>
      </x:c>
      <x:c r="M2" s="33" t="b">
        <x:v>0</x:v>
      </x:c>
      <x:c r="N2" s="30" t="str">
        <x:v>Primary fictional operating account.</x:v>
      </x:c>
    </x:row>
    <x:row r="3">
      <x:c r="A3" s="30" t="str">
        <x:v>fin-bank-savings</x:v>
      </x:c>
      <x:c r="B3" s="30" t="str">
        <x:v>Business savings (archived)</x:v>
      </x:c>
      <x:c r="C3" s="30" t="str">
        <x:v>BANK</x:v>
      </x:c>
      <x:c r="D3" s="30" t="str">
        <x:v>Savings</x:v>
      </x:c>
      <x:c r="E3" s="30" t="str">
        <x:v>BANK</x:v>
      </x:c>
      <x:c r="F3" s="30" t="str">
        <x:v>TRACK_TRANSACTIONS</x:v>
      </x:c>
      <x:c r="G3" s="30" t="str">
        <x:v>CSV_EXCEL_QBO_OFX</x:v>
      </x:c>
      <x:c r="H3" s="30" t="str">
        <x:v>READY</x:v>
      </x:c>
      <x:c r="I3" s="31" t="n">
        <x:v>500000</x:v>
      </x:c>
      <x:c r="J3" s="32" t="n">
        <x:v>45658</x:v>
      </x:c>
      <x:c r="K3" s="30" t="str">
        <x:v>DERIVED_EQUITY</x:v>
      </x:c>
      <x:c r="L3" s="33" t="b">
        <x:v>1</x:v>
      </x:c>
      <x:c r="M3" s="33" t="b">
        <x:v>0</x:v>
      </x:c>
      <x:c r="N3" s="30" t="str">
        <x:v>Nonzero archived account for historical reporting.</x:v>
      </x:c>
    </x:row>
    <x:row r="4">
      <x:c r="A4" s="30" t="str">
        <x:v>fin-card</x:v>
      </x:c>
      <x:c r="B4" s="30" t="str">
        <x:v>Business rewards card</x:v>
      </x:c>
      <x:c r="C4" s="30" t="str">
        <x:v>CREDIT_CARD</x:v>
      </x:c>
      <x:c r="D4" s="30" t="str">
        <x:v>Credit Card</x:v>
      </x:c>
      <x:c r="E4" s="30" t="str">
        <x:v>CREDIT_CARD</x:v>
      </x:c>
      <x:c r="F4" s="30" t="str">
        <x:v>TRACK_TRANSACTIONS</x:v>
      </x:c>
      <x:c r="G4" s="30" t="str">
        <x:v>CSV_EXCEL_QBO_OFX</x:v>
      </x:c>
      <x:c r="H4" s="30" t="str">
        <x:v>READY</x:v>
      </x:c>
      <x:c r="I4" s="31" t="n">
        <x:v>-120000</x:v>
      </x:c>
      <x:c r="J4" s="32" t="n">
        <x:v>45658</x:v>
      </x:c>
      <x:c r="K4" s="30" t="str">
        <x:v>DERIVED_EQUITY</x:v>
      </x:c>
      <x:c r="L4" s="33" t="b">
        <x:v>0</x:v>
      </x:c>
      <x:c r="M4" s="33" t="b">
        <x:v>0</x:v>
      </x:c>
      <x:c r="N4" s="30" t="str">
        <x:v>Charges are negative; payments are positive.</x:v>
      </x:c>
    </x:row>
    <x:row r="5">
      <x:c r="A5" s="30" t="str">
        <x:v>fin-marketplace</x:v>
      </x:c>
      <x:c r="B5" s="30" t="str">
        <x:v>Marketplace clearing</x:v>
      </x:c>
      <x:c r="C5" s="30" t="str">
        <x:v>ENTITY</x:v>
      </x:c>
      <x:c r="D5" s="30" t="str">
        <x:v>Marketplace</x:v>
      </x:c>
      <x:c r="E5" s="30" t="str">
        <x:v>OTHER_CURRENT_ASSET</x:v>
      </x:c>
      <x:c r="F5" s="30" t="str">
        <x:v>TRACK_TRANSACTIONS</x:v>
      </x:c>
      <x:c r="G5" s="30" t="str">
        <x:v>AMAZON_SUMMARY</x:v>
      </x:c>
      <x:c r="H5" s="30" t="str">
        <x:v>MAPPED</x:v>
      </x:c>
      <x:c r="I5" s="31" t="n">
        <x:v>0</x:v>
      </x:c>
      <x:c r="J5" s="32" t="n">
        <x:v>45658</x:v>
      </x:c>
      <x:c r="K5" s="30" t="str">
        <x:v>LEDGER_ACTIVITY</x:v>
      </x:c>
      <x:c r="L5" s="33" t="b">
        <x:v>0</x:v>
      </x:c>
      <x:c r="M5" s="33" t="b">
        <x:v>0</x:v>
      </x:c>
      <x:c r="N5" s="30" t="str">
        <x:v>Legacy Entity sample mapped structurally to Other Current Asset.</x:v>
      </x:c>
    </x:row>
    <x:row r="6">
      <x:c r="A6" s="30" t="str">
        <x:v>fin-inventory</x:v>
      </x:c>
      <x:c r="B6" s="30" t="str">
        <x:v>Inventory tracking</x:v>
      </x:c>
      <x:c r="C6" s="30" t="str">
        <x:v>ENTITY</x:v>
      </x:c>
      <x:c r="D6" s="30" t="str">
        <x:v>Clearing account</x:v>
      </x:c>
      <x:c r="E6" s="30" t="str">
        <x:v>OTHER_CURRENT_ASSET</x:v>
      </x:c>
      <x:c r="F6" s="30" t="str">
        <x:v>TRACK_TRANSACTIONS</x:v>
      </x:c>
      <x:c r="G6" s="30" t="str">
        <x:v>CSV_EXCEL</x:v>
      </x:c>
      <x:c r="H6" s="30" t="str">
        <x:v>MAPPED</x:v>
      </x:c>
      <x:c r="I6" s="31" t="n">
        <x:v>400000</x:v>
      </x:c>
      <x:c r="J6" s="32" t="n">
        <x:v>45658</x:v>
      </x:c>
      <x:c r="K6" s="30" t="str">
        <x:v>DERIVED_EQUITY</x:v>
      </x:c>
      <x:c r="L6" s="33" t="b">
        <x:v>0</x:v>
      </x:c>
      <x:c r="M6" s="33" t="b">
        <x:v>0</x:v>
      </x:c>
      <x:c r="N6" s="30" t="str">
        <x:v>Inventory asset tracked with transfers and year-end COGS activity.</x:v>
      </x:c>
    </x:row>
    <x:row r="7">
      <x:c r="A7" s="30" t="str">
        <x:v>fin-legacy-clearing</x:v>
      </x:c>
      <x:c r="B7" s="30" t="str">
        <x:v>Legacy clearing (review required)</x:v>
      </x:c>
      <x:c r="C7" s="30" t="str">
        <x:v>ENTITY</x:v>
      </x:c>
      <x:c r="D7" s="30" t="str">
        <x:v>Other transactions</x:v>
      </x:c>
      <x:c r="E7" s="30" t="str">
        <x:v>OTHER_CURRENT_ASSET</x:v>
      </x:c>
      <x:c r="F7" s="30" t="str">
        <x:v>TRACK_TRANSACTIONS</x:v>
      </x:c>
      <x:c r="G7" s="30" t="str">
        <x:v>NONE</x:v>
      </x:c>
      <x:c r="H7" s="30" t="str">
        <x:v>REVIEW_REQUIRED</x:v>
      </x:c>
      <x:c r="I7" s="31" t="n">
        <x:v>12500</x:v>
      </x:c>
      <x:c r="J7" s="32" t="n">
        <x:v>45658</x:v>
      </x:c>
      <x:c r="K7" s="30" t="str">
        <x:v>DERIVED_EQUITY</x:v>
      </x:c>
      <x:c r="L7" s="33" t="b">
        <x:v>0</x:v>
      </x:c>
      <x:c r="M7" s="33" t="b">
        <x:v>0</x:v>
      </x:c>
      <x:c r="N7" s="30" t="str">
        <x:v>Nonzero migration-review account for warning coverage.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1.109999656677246" hidden="0" customWidth="1"/>
    <x:col min="8" max="8" width="7.329999923706055" hidden="0" customWidth="1"/>
    <x:col min="9" max="9" width="6.21999979019165" hidden="0" customWidth="1"/>
    <x:col min="10" max="10" width="42" hidden="0" customWidth="1"/>
  </x:cols>
  <x:sheetData>
    <x:row r="1" ht="32" customHeight="1">
      <x:c r="A1" s="29" t="str">
        <x:v>Chart Account ID</x:v>
      </x:c>
      <x:c r="B1" s="29" t="str">
        <x:v>Account Name</x:v>
      </x:c>
      <x:c r="C1" s="29" t="str">
        <x:v>Parent ID</x:v>
      </x:c>
      <x:c r="D1" s="29" t="str">
        <x:v>Reporting Group</x:v>
      </x:c>
      <x:c r="E1" s="29" t="str">
        <x:v>Account Type</x:v>
      </x:c>
      <x:c r="F1" s="29" t="str">
        <x:v>Detail Type</x:v>
      </x:c>
      <x:c r="G1" s="29" t="str">
        <x:v>Display Order</x:v>
      </x:c>
      <x:c r="H1" s="29" t="str">
        <x:v>Archived</x:v>
      </x:c>
      <x:c r="I1" s="29" t="str">
        <x:v>Locked</x:v>
      </x:c>
      <x:c r="J1" s="29" t="str">
        <x:v>Description</x:v>
      </x:c>
    </x:row>
    <x:row r="2">
      <x:c r="A2" s="30" t="str">
        <x:v>ca-prepaid-parent</x:v>
      </x:c>
      <x:c r="B2" s="30" t="str">
        <x:v>Prepaid expenses</x:v>
      </x:c>
      <x:c r="C2" s="30" t="str"/>
      <x:c r="D2" s="30" t="str">
        <x:v>ASSET</x:v>
      </x:c>
      <x:c r="E2" s="30" t="str">
        <x:v>OTHER_CURRENT_ASSET</x:v>
      </x:c>
      <x:c r="F2" s="30" t="str">
        <x:v>Prepaid expenses</x:v>
      </x:c>
      <x:c r="G2" s="30" t="n">
        <x:v>100</x:v>
      </x:c>
      <x:c r="H2" s="33" t="b">
        <x:v>0</x:v>
      </x:c>
      <x:c r="I2" s="33" t="b">
        <x:v>0</x:v>
      </x:c>
      <x:c r="J2" s="30" t="str">
        <x:v>Current-asset parent used for hierarchy tests.</x:v>
      </x:c>
    </x:row>
    <x:row r="3">
      <x:c r="A3" s="30" t="str">
        <x:v>ca-prepaid-insurance</x:v>
      </x:c>
      <x:c r="B3" s="30" t="str">
        <x:v>Prepaid expenses:Prepaid insurance</x:v>
      </x:c>
      <x:c r="C3" s="30" t="str">
        <x:v>ca-prepaid-parent</x:v>
      </x:c>
      <x:c r="D3" s="30" t="str">
        <x:v>ASSET</x:v>
      </x:c>
      <x:c r="E3" s="30" t="str">
        <x:v>OTHER_CURRENT_ASSET</x:v>
      </x:c>
      <x:c r="F3" s="30" t="str">
        <x:v>Prepaid expenses</x:v>
      </x:c>
      <x:c r="G3" s="30" t="n">
        <x:v>101</x:v>
      </x:c>
      <x:c r="H3" s="33" t="b">
        <x:v>0</x:v>
      </x:c>
      <x:c r="I3" s="33" t="b">
        <x:v>0</x:v>
      </x:c>
      <x:c r="J3" s="30" t="str">
        <x:v>Annual insurance paid in advance.</x:v>
      </x:c>
    </x:row>
    <x:row r="4">
      <x:c r="A4" s="30" t="str">
        <x:v>ca-equipment-parent</x:v>
      </x:c>
      <x:c r="B4" s="30" t="str">
        <x:v>Equipment</x:v>
      </x:c>
      <x:c r="C4" s="30" t="str"/>
      <x:c r="D4" s="30" t="str">
        <x:v>ASSET</x:v>
      </x:c>
      <x:c r="E4" s="30" t="str">
        <x:v>FIXED_ASSET</x:v>
      </x:c>
      <x:c r="F4" s="30" t="str">
        <x:v>Machinery and equipment</x:v>
      </x:c>
      <x:c r="G4" s="30" t="n">
        <x:v>120</x:v>
      </x:c>
      <x:c r="H4" s="33" t="b">
        <x:v>0</x:v>
      </x:c>
      <x:c r="I4" s="33" t="b">
        <x:v>0</x:v>
      </x:c>
      <x:c r="J4" s="30" t="str">
        <x:v>Fixed-asset parent with direct and child postings.</x:v>
      </x:c>
    </x:row>
    <x:row r="5">
      <x:c r="A5" s="30" t="str">
        <x:v>ca-equipment-computers</x:v>
      </x:c>
      <x:c r="B5" s="30" t="str">
        <x:v>Equipment:Computers</x:v>
      </x:c>
      <x:c r="C5" s="30" t="str">
        <x:v>ca-equipment-parent</x:v>
      </x:c>
      <x:c r="D5" s="30" t="str">
        <x:v>ASSET</x:v>
      </x:c>
      <x:c r="E5" s="30" t="str">
        <x:v>FIXED_ASSET</x:v>
      </x:c>
      <x:c r="F5" s="30" t="str">
        <x:v>Other fixed assets</x:v>
      </x:c>
      <x:c r="G5" s="30" t="n">
        <x:v>121</x:v>
      </x:c>
      <x:c r="H5" s="33" t="b">
        <x:v>0</x:v>
      </x:c>
      <x:c r="I5" s="33" t="b">
        <x:v>0</x:v>
      </x:c>
      <x:c r="J5" s="30" t="str">
        <x:v>Computer equipment subaccount.</x:v>
      </x:c>
    </x:row>
    <x:row r="6">
      <x:c r="A6" s="30" t="str">
        <x:v>ca-accum-depr</x:v>
      </x:c>
      <x:c r="B6" s="30" t="str">
        <x:v>Accumulated depreciation</x:v>
      </x:c>
      <x:c r="C6" s="30" t="str"/>
      <x:c r="D6" s="30" t="str">
        <x:v>ASSET</x:v>
      </x:c>
      <x:c r="E6" s="30" t="str">
        <x:v>FIXED_ASSET</x:v>
      </x:c>
      <x:c r="F6" s="30" t="str">
        <x:v>Other fixed assets</x:v>
      </x:c>
      <x:c r="G6" s="30" t="n">
        <x:v>129</x:v>
      </x:c>
      <x:c r="H6" s="33" t="b">
        <x:v>0</x:v>
      </x:c>
      <x:c r="I6" s="33" t="b">
        <x:v>0</x:v>
      </x:c>
      <x:c r="J6" s="30" t="str">
        <x:v>Contra-asset sample; normally carries a negative balance.</x:v>
      </x:c>
    </x:row>
    <x:row r="7">
      <x:c r="A7" s="30" t="str">
        <x:v>ca-long-term-loan</x:v>
      </x:c>
      <x:c r="B7" s="30" t="str">
        <x:v>Term loan payable</x:v>
      </x:c>
      <x:c r="C7" s="30" t="str"/>
      <x:c r="D7" s="30" t="str">
        <x:v>LIABILITY</x:v>
      </x:c>
      <x:c r="E7" s="30" t="str">
        <x:v>LONG_TERM_LIABILITY</x:v>
      </x:c>
      <x:c r="F7" s="30" t="str">
        <x:v>Notes payable</x:v>
      </x:c>
      <x:c r="G7" s="30" t="n">
        <x:v>200</x:v>
      </x:c>
      <x:c r="H7" s="33" t="b">
        <x:v>0</x:v>
      </x:c>
      <x:c r="I7" s="33" t="b">
        <x:v>0</x:v>
      </x:c>
      <x:c r="J7" s="30" t="str">
        <x:v>Principal-only loan balance.</x:v>
      </x:c>
    </x:row>
    <x:row r="8">
      <x:c r="A8" s="30" t="str">
        <x:v>ca-short-term-loan</x:v>
      </x:c>
      <x:c r="B8" s="30" t="str">
        <x:v>Short-term loan payable</x:v>
      </x:c>
      <x:c r="C8" s="30" t="str"/>
      <x:c r="D8" s="30" t="str">
        <x:v>LIABILITY</x:v>
      </x:c>
      <x:c r="E8" s="30" t="str">
        <x:v>OTHER_CURRENT_LIABILITY</x:v>
      </x:c>
      <x:c r="F8" s="30" t="str">
        <x:v>Loan payable</x:v>
      </x:c>
      <x:c r="G8" s="30" t="n">
        <x:v>210</x:v>
      </x:c>
      <x:c r="H8" s="33" t="b">
        <x:v>0</x:v>
      </x:c>
      <x:c r="I8" s="33" t="b">
        <x:v>0</x:v>
      </x:c>
      <x:c r="J8" s="30" t="str">
        <x:v>Current loan balance.</x:v>
      </x:c>
    </x:row>
    <x:row r="9">
      <x:c r="A9" s="30" t="str">
        <x:v>ca-sales-tax</x:v>
      </x:c>
      <x:c r="B9" s="30" t="str">
        <x:v>Sales tax payable</x:v>
      </x:c>
      <x:c r="C9" s="30" t="str"/>
      <x:c r="D9" s="30" t="str">
        <x:v>LIABILITY</x:v>
      </x:c>
      <x:c r="E9" s="30" t="str">
        <x:v>OTHER_CURRENT_LIABILITY</x:v>
      </x:c>
      <x:c r="F9" s="30" t="str">
        <x:v>Sales tax payable</x:v>
      </x:c>
      <x:c r="G9" s="30" t="n">
        <x:v>220</x:v>
      </x:c>
      <x:c r="H9" s="33" t="b">
        <x:v>0</x:v>
      </x:c>
      <x:c r="I9" s="33" t="b">
        <x:v>0</x:v>
      </x:c>
      <x:c r="J9" s="30" t="str">
        <x:v>Liability account included for future tax scenarios.</x:v>
      </x:c>
    </x:row>
    <x:row r="10">
      <x:c r="A10" s="30" t="str">
        <x:v>ca-owner-equity-parent</x:v>
      </x:c>
      <x:c r="B10" s="30" t="str">
        <x:v>Owner equity</x:v>
      </x:c>
      <x:c r="C10" s="30" t="str"/>
      <x:c r="D10" s="30" t="str">
        <x:v>EQUITY</x:v>
      </x:c>
      <x:c r="E10" s="30" t="str">
        <x:v>EQUITY</x:v>
      </x:c>
      <x:c r="F10" s="30" t="str">
        <x:v>Owner equity</x:v>
      </x:c>
      <x:c r="G10" s="30" t="n">
        <x:v>300</x:v>
      </x:c>
      <x:c r="H10" s="33" t="b">
        <x:v>0</x:v>
      </x:c>
      <x:c r="I10" s="33" t="b">
        <x:v>0</x:v>
      </x:c>
      <x:c r="J10" s="30" t="str">
        <x:v>Equity parent.</x:v>
      </x:c>
    </x:row>
    <x:row r="11">
      <x:c r="A11" s="30" t="str">
        <x:v>ca-owner-contributions</x:v>
      </x:c>
      <x:c r="B11" s="30" t="str">
        <x:v>Owner equity:Contributions</x:v>
      </x:c>
      <x:c r="C11" s="30" t="str">
        <x:v>ca-owner-equity-parent</x:v>
      </x:c>
      <x:c r="D11" s="30" t="str">
        <x:v>EQUITY</x:v>
      </x:c>
      <x:c r="E11" s="30" t="str">
        <x:v>EQUITY</x:v>
      </x:c>
      <x:c r="F11" s="30" t="str">
        <x:v>Owner equity</x:v>
      </x:c>
      <x:c r="G11" s="30" t="n">
        <x:v>301</x:v>
      </x:c>
      <x:c r="H11" s="33" t="b">
        <x:v>0</x:v>
      </x:c>
      <x:c r="I11" s="33" t="b">
        <x:v>0</x:v>
      </x:c>
      <x:c r="J11" s="30" t="str">
        <x:v>Owner capital contributions.</x:v>
      </x:c>
    </x:row>
    <x:row r="12">
      <x:c r="A12" s="30" t="str">
        <x:v>ca-owner-draws</x:v>
      </x:c>
      <x:c r="B12" s="30" t="str">
        <x:v>Owner equity:Draws</x:v>
      </x:c>
      <x:c r="C12" s="30" t="str">
        <x:v>ca-owner-equity-parent</x:v>
      </x:c>
      <x:c r="D12" s="30" t="str">
        <x:v>EQUITY</x:v>
      </x:c>
      <x:c r="E12" s="30" t="str">
        <x:v>EQUITY</x:v>
      </x:c>
      <x:c r="F12" s="30" t="str">
        <x:v>Owner draw</x:v>
      </x:c>
      <x:c r="G12" s="30" t="n">
        <x:v>302</x:v>
      </x:c>
      <x:c r="H12" s="33" t="b">
        <x:v>0</x:v>
      </x:c>
      <x:c r="I12" s="33" t="b">
        <x:v>0</x:v>
      </x:c>
      <x:c r="J12" s="30" t="str">
        <x:v>Owner distributions.</x:v>
      </x:c>
    </x:row>
    <x:row r="13">
      <x:c r="A13" s="30" t="str">
        <x:v>ca-retained-earnings</x:v>
      </x:c>
      <x:c r="B13" s="30" t="str">
        <x:v>Retained earnings</x:v>
      </x:c>
      <x:c r="C13" s="30" t="str"/>
      <x:c r="D13" s="30" t="str">
        <x:v>EQUITY</x:v>
      </x:c>
      <x:c r="E13" s="30" t="str">
        <x:v>EQUITY</x:v>
      </x:c>
      <x:c r="F13" s="30" t="str">
        <x:v>Retained earnings</x:v>
      </x:c>
      <x:c r="G13" s="30" t="n">
        <x:v>310</x:v>
      </x:c>
      <x:c r="H13" s="33" t="b">
        <x:v>0</x:v>
      </x:c>
      <x:c r="I13" s="33" t="b">
        <x:v>1</x:v>
      </x:c>
      <x:c r="J13" s="30" t="str">
        <x:v>Reserved chart row; the sample expects derived retained earnings.</x:v>
      </x:c>
    </x:row>
    <x:row r="14">
      <x:c r="A14" s="30" t="str">
        <x:v>ca-online-sales</x:v>
      </x:c>
      <x:c r="B14" s="30" t="str">
        <x:v>Online product sales</x:v>
      </x:c>
      <x:c r="C14" s="30" t="str"/>
      <x:c r="D14" s="30" t="str">
        <x:v>INCOME</x:v>
      </x:c>
      <x:c r="E14" s="30" t="str">
        <x:v>INCOME</x:v>
      </x:c>
      <x:c r="F14" s="30" t="str">
        <x:v>Sales of product income</x:v>
      </x:c>
      <x:c r="G14" s="30" t="n">
        <x:v>400</x:v>
      </x:c>
      <x:c r="H14" s="33" t="b">
        <x:v>0</x:v>
      </x:c>
      <x:c r="I14" s="33" t="b">
        <x:v>0</x:v>
      </x:c>
      <x:c r="J14" s="30" t="str">
        <x:v>Marketplace product revenue.</x:v>
      </x:c>
    </x:row>
    <x:row r="15">
      <x:c r="A15" s="30" t="str">
        <x:v>ca-sales-returns</x:v>
      </x:c>
      <x:c r="B15" s="30" t="str">
        <x:v>Sales returns and refunds</x:v>
      </x:c>
      <x:c r="C15" s="30" t="str"/>
      <x:c r="D15" s="30" t="str">
        <x:v>INCOME</x:v>
      </x:c>
      <x:c r="E15" s="30" t="str">
        <x:v>INCOME</x:v>
      </x:c>
      <x:c r="F15" s="30" t="str">
        <x:v>Sales of product income</x:v>
      </x:c>
      <x:c r="G15" s="30" t="n">
        <x:v>401</x:v>
      </x:c>
      <x:c r="H15" s="33" t="b">
        <x:v>0</x:v>
      </x:c>
      <x:c r="I15" s="33" t="b">
        <x:v>0</x:v>
      </x:c>
      <x:c r="J15" s="30" t="str">
        <x:v>Contra-income account.</x:v>
      </x:c>
    </x:row>
    <x:row r="16">
      <x:c r="A16" s="30" t="str">
        <x:v>ca-shipping-income</x:v>
      </x:c>
      <x:c r="B16" s="30" t="str">
        <x:v>Shipping income</x:v>
      </x:c>
      <x:c r="C16" s="30" t="str"/>
      <x:c r="D16" s="30" t="str">
        <x:v>INCOME</x:v>
      </x:c>
      <x:c r="E16" s="30" t="str">
        <x:v>INCOME</x:v>
      </x:c>
      <x:c r="F16" s="30" t="str">
        <x:v>Other primary income</x:v>
      </x:c>
      <x:c r="G16" s="30" t="n">
        <x:v>402</x:v>
      </x:c>
      <x:c r="H16" s="33" t="b">
        <x:v>0</x:v>
      </x:c>
      <x:c r="I16" s="33" t="b">
        <x:v>0</x:v>
      </x:c>
      <x:c r="J16" s="30" t="str">
        <x:v>Customer shipping credits.</x:v>
      </x:c>
    </x:row>
    <x:row r="17">
      <x:c r="A17" s="30" t="str">
        <x:v>ca-service-income</x:v>
      </x:c>
      <x:c r="B17" s="30" t="str">
        <x:v>Service income</x:v>
      </x:c>
      <x:c r="C17" s="30" t="str"/>
      <x:c r="D17" s="30" t="str">
        <x:v>INCOME</x:v>
      </x:c>
      <x:c r="E17" s="30" t="str">
        <x:v>INCOME</x:v>
      </x:c>
      <x:c r="F17" s="30" t="str">
        <x:v>Service income</x:v>
      </x:c>
      <x:c r="G17" s="30" t="n">
        <x:v>410</x:v>
      </x:c>
      <x:c r="H17" s="33" t="b">
        <x:v>0</x:v>
      </x:c>
      <x:c r="I17" s="33" t="b">
        <x:v>0</x:v>
      </x:c>
      <x:c r="J17" s="30" t="str">
        <x:v>Non-marketplace service revenue.</x:v>
      </x:c>
    </x:row>
    <x:row r="18">
      <x:c r="A18" s="30" t="str">
        <x:v>ca-interest-income</x:v>
      </x:c>
      <x:c r="B18" s="30" t="str">
        <x:v>Interest income</x:v>
      </x:c>
      <x:c r="C18" s="30" t="str"/>
      <x:c r="D18" s="30" t="str">
        <x:v>OTHER_INCOME</x:v>
      </x:c>
      <x:c r="E18" s="30" t="str">
        <x:v>OTHER_INCOME</x:v>
      </x:c>
      <x:c r="F18" s="30" t="str">
        <x:v>Interest earned</x:v>
      </x:c>
      <x:c r="G18" s="30" t="n">
        <x:v>450</x:v>
      </x:c>
      <x:c r="H18" s="33" t="b">
        <x:v>0</x:v>
      </x:c>
      <x:c r="I18" s="33" t="b">
        <x:v>0</x:v>
      </x:c>
      <x:c r="J18" s="30" t="str">
        <x:v>Deposit interest.</x:v>
      </x:c>
    </x:row>
    <x:row r="19">
      <x:c r="A19" s="30" t="str">
        <x:v>ca-product-costs</x:v>
      </x:c>
      <x:c r="B19" s="30" t="str">
        <x:v>Product costs</x:v>
      </x:c>
      <x:c r="C19" s="30" t="str"/>
      <x:c r="D19" s="30" t="str">
        <x:v>COGS</x:v>
      </x:c>
      <x:c r="E19" s="30" t="str">
        <x:v>COGS</x:v>
      </x:c>
      <x:c r="F19" s="30" t="str">
        <x:v>Supplies and materials</x:v>
      </x:c>
      <x:c r="G19" s="30" t="n">
        <x:v>500</x:v>
      </x:c>
      <x:c r="H19" s="33" t="b">
        <x:v>0</x:v>
      </x:c>
      <x:c r="I19" s="33" t="b">
        <x:v>0</x:v>
      </x:c>
      <x:c r="J19" s="30" t="str">
        <x:v>Inventory relieved to cost of goods sold.</x:v>
      </x:c>
    </x:row>
    <x:row r="20">
      <x:c r="A20" s="30" t="str">
        <x:v>ca-fulfillment-fees</x:v>
      </x:c>
      <x:c r="B20" s="30" t="str">
        <x:v>Fulfillment fees</x:v>
      </x:c>
      <x:c r="C20" s="30" t="str"/>
      <x:c r="D20" s="30" t="str">
        <x:v>COGS</x:v>
      </x:c>
      <x:c r="E20" s="30" t="str">
        <x:v>COGS</x:v>
      </x:c>
      <x:c r="F20" s="30" t="str">
        <x:v>Shipping, freight and delivery</x:v>
      </x:c>
      <x:c r="G20" s="30" t="n">
        <x:v>510</x:v>
      </x:c>
      <x:c r="H20" s="33" t="b">
        <x:v>0</x:v>
      </x:c>
      <x:c r="I20" s="33" t="b">
        <x:v>0</x:v>
      </x:c>
      <x:c r="J20" s="30" t="str">
        <x:v>Per-unit fulfillment costs.</x:v>
      </x:c>
    </x:row>
    <x:row r="21">
      <x:c r="A21" s="30" t="str">
        <x:v>ca-platform-fees-parent</x:v>
      </x:c>
      <x:c r="B21" s="30" t="str">
        <x:v>Marketplace fees</x:v>
      </x:c>
      <x:c r="C21" s="30" t="str"/>
      <x:c r="D21" s="30" t="str">
        <x:v>EXPENSE</x:v>
      </x:c>
      <x:c r="E21" s="30" t="str">
        <x:v>EXPENSE</x:v>
      </x:c>
      <x:c r="F21" s="30" t="str">
        <x:v>Other business expenses</x:v>
      </x:c>
      <x:c r="G21" s="30" t="n">
        <x:v>600</x:v>
      </x:c>
      <x:c r="H21" s="33" t="b">
        <x:v>0</x:v>
      </x:c>
      <x:c r="I21" s="33" t="b">
        <x:v>0</x:v>
      </x:c>
      <x:c r="J21" s="30" t="str">
        <x:v>Expense parent with direct and child activity.</x:v>
      </x:c>
    </x:row>
    <x:row r="22">
      <x:c r="A22" s="30" t="str">
        <x:v>ca-commission-fees</x:v>
      </x:c>
      <x:c r="B22" s="30" t="str">
        <x:v>Marketplace fees:Commissions</x:v>
      </x:c>
      <x:c r="C22" s="30" t="str">
        <x:v>ca-platform-fees-parent</x:v>
      </x:c>
      <x:c r="D22" s="30" t="str">
        <x:v>EXPENSE</x:v>
      </x:c>
      <x:c r="E22" s="30" t="str">
        <x:v>EXPENSE</x:v>
      </x:c>
      <x:c r="F22" s="30" t="str">
        <x:v>Other business expenses</x:v>
      </x:c>
      <x:c r="G22" s="30" t="n">
        <x:v>601</x:v>
      </x:c>
      <x:c r="H22" s="33" t="b">
        <x:v>0</x:v>
      </x:c>
      <x:c r="I22" s="33" t="b">
        <x:v>0</x:v>
      </x:c>
      <x:c r="J22" s="30" t="str">
        <x:v>Marketplace commissions.</x:v>
      </x:c>
    </x:row>
    <x:row r="23">
      <x:c r="A23" s="30" t="str">
        <x:v>ca-storage-fees</x:v>
      </x:c>
      <x:c r="B23" s="30" t="str">
        <x:v>Marketplace fees:Storage</x:v>
      </x:c>
      <x:c r="C23" s="30" t="str">
        <x:v>ca-platform-fees-parent</x:v>
      </x:c>
      <x:c r="D23" s="30" t="str">
        <x:v>EXPENSE</x:v>
      </x:c>
      <x:c r="E23" s="30" t="str">
        <x:v>EXPENSE</x:v>
      </x:c>
      <x:c r="F23" s="30" t="str">
        <x:v>Other business expenses</x:v>
      </x:c>
      <x:c r="G23" s="30" t="n">
        <x:v>602</x:v>
      </x:c>
      <x:c r="H23" s="33" t="b">
        <x:v>0</x:v>
      </x:c>
      <x:c r="I23" s="33" t="b">
        <x:v>0</x:v>
      </x:c>
      <x:c r="J23" s="30" t="str">
        <x:v>Marketplace storage charges.</x:v>
      </x:c>
    </x:row>
    <x:row r="24">
      <x:c r="A24" s="30" t="str">
        <x:v>ca-advertising</x:v>
      </x:c>
      <x:c r="B24" s="30" t="str">
        <x:v>Advertising</x:v>
      </x:c>
      <x:c r="C24" s="30" t="str"/>
      <x:c r="D24" s="30" t="str">
        <x:v>EXPENSE</x:v>
      </x:c>
      <x:c r="E24" s="30" t="str">
        <x:v>EXPENSE</x:v>
      </x:c>
      <x:c r="F24" s="30" t="str">
        <x:v>Advertising</x:v>
      </x:c>
      <x:c r="G24" s="30" t="n">
        <x:v>620</x:v>
      </x:c>
      <x:c r="H24" s="33" t="b">
        <x:v>0</x:v>
      </x:c>
      <x:c r="I24" s="33" t="b">
        <x:v>0</x:v>
      </x:c>
      <x:c r="J24" s="30" t="str">
        <x:v>Digital advertising.</x:v>
      </x:c>
    </x:row>
    <x:row r="25">
      <x:c r="A25" s="30" t="str">
        <x:v>ca-insurance</x:v>
      </x:c>
      <x:c r="B25" s="30" t="str">
        <x:v>Insurance</x:v>
      </x:c>
      <x:c r="C25" s="30" t="str"/>
      <x:c r="D25" s="30" t="str">
        <x:v>EXPENSE</x:v>
      </x:c>
      <x:c r="E25" s="30" t="str">
        <x:v>EXPENSE</x:v>
      </x:c>
      <x:c r="F25" s="30" t="str">
        <x:v>Insurance</x:v>
      </x:c>
      <x:c r="G25" s="30" t="n">
        <x:v>630</x:v>
      </x:c>
      <x:c r="H25" s="33" t="b">
        <x:v>0</x:v>
      </x:c>
      <x:c r="I25" s="33" t="b">
        <x:v>0</x:v>
      </x:c>
      <x:c r="J25" s="30" t="str">
        <x:v>Business insurance expense.</x:v>
      </x:c>
    </x:row>
    <x:row r="26">
      <x:c r="A26" s="30" t="str">
        <x:v>ca-software</x:v>
      </x:c>
      <x:c r="B26" s="30" t="str">
        <x:v>Software subscriptions</x:v>
      </x:c>
      <x:c r="C26" s="30" t="str"/>
      <x:c r="D26" s="30" t="str">
        <x:v>EXPENSE</x:v>
      </x:c>
      <x:c r="E26" s="30" t="str">
        <x:v>EXPENSE</x:v>
      </x:c>
      <x:c r="F26" s="30" t="str">
        <x:v>Other business expenses</x:v>
      </x:c>
      <x:c r="G26" s="30" t="n">
        <x:v>640</x:v>
      </x:c>
      <x:c r="H26" s="33" t="b">
        <x:v>0</x:v>
      </x:c>
      <x:c r="I26" s="33" t="b">
        <x:v>0</x:v>
      </x:c>
      <x:c r="J26" s="30" t="str">
        <x:v>Software subscriptions.</x:v>
      </x:c>
    </x:row>
    <x:row r="27">
      <x:c r="A27" s="30" t="str">
        <x:v>ca-interest-expense</x:v>
      </x:c>
      <x:c r="B27" s="30" t="str">
        <x:v>Interest expense</x:v>
      </x:c>
      <x:c r="C27" s="30" t="str"/>
      <x:c r="D27" s="30" t="str">
        <x:v>OTHER_EXPENSE</x:v>
      </x:c>
      <x:c r="E27" s="30" t="str">
        <x:v>OTHER_EXPENSE</x:v>
      </x:c>
      <x:c r="F27" s="30" t="str">
        <x:v>Other miscellaneous expense</x:v>
      </x:c>
      <x:c r="G27" s="30" t="n">
        <x:v>700</x:v>
      </x:c>
      <x:c r="H27" s="33" t="b">
        <x:v>0</x:v>
      </x:c>
      <x:c r="I27" s="33" t="b">
        <x:v>0</x:v>
      </x:c>
      <x:c r="J27" s="30" t="str">
        <x:v>Loan interest.</x:v>
      </x:c>
    </x:row>
    <x:row r="28">
      <x:c r="A28" s="30" t="str">
        <x:v>ca-depreciation</x:v>
      </x:c>
      <x:c r="B28" s="30" t="str">
        <x:v>Depreciation expense</x:v>
      </x:c>
      <x:c r="C28" s="30" t="str"/>
      <x:c r="D28" s="30" t="str">
        <x:v>OTHER_EXPENSE</x:v>
      </x:c>
      <x:c r="E28" s="30" t="str">
        <x:v>OTHER_EXPENSE</x:v>
      </x:c>
      <x:c r="F28" s="30" t="str">
        <x:v>Depreciation</x:v>
      </x:c>
      <x:c r="G28" s="30" t="n">
        <x:v>710</x:v>
      </x:c>
      <x:c r="H28" s="33" t="b">
        <x:v>0</x:v>
      </x:c>
      <x:c r="I28" s="33" t="b">
        <x:v>0</x:v>
      </x:c>
      <x:c r="J28" s="30" t="str">
        <x:v>Depreciation sample category.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7" hidden="0" customWidth="1"/>
    <x:col min="5" max="5" width="11.5600004196167" hidden="0" customWidth="1"/>
    <x:col min="6" max="6" width="38" hidden="0" customWidth="1"/>
    <x:col min="7" max="7" width="17.440000534057617" hidden="0" customWidth="1"/>
    <x:col min="8" max="8" width="17.889999389648438" hidden="0" customWidth="1"/>
    <x:col min="9" max="9" width="14.329999923706055" hidden="0" customWidth="1"/>
    <x:col min="10" max="10" width="40" hidden="0" customWidth="1"/>
    <x:col min="11" max="11" width="10" hidden="0" customWidth="1"/>
    <x:col min="12" max="12" width="22" hidden="0" customWidth="1"/>
    <x:col min="13" max="13" width="22" hidden="0" customWidth="1"/>
    <x:col min="14" max="14" width="12.890000343322754" hidden="0" customWidth="1"/>
    <x:col min="15" max="15" width="11.890000343322754" hidden="0" customWidth="1"/>
  </x:cols>
  <x:sheetData>
    <x:row r="1" ht="32" customHeight="1">
      <x:c r="A1" s="29" t="str">
        <x:v>Transaction ID</x:v>
      </x:c>
      <x:c r="B1" s="29" t="str">
        <x:v>Account ID</x:v>
      </x:c>
      <x:c r="C1" s="29" t="str">
        <x:v>Posting Date</x:v>
      </x:c>
      <x:c r="D1" s="29" t="str">
        <x:v>Amount</x:v>
      </x:c>
      <x:c r="E1" s="29" t="str">
        <x:v>Amount Minor</x:v>
      </x:c>
      <x:c r="F1" s="29" t="str">
        <x:v>Description</x:v>
      </x:c>
      <x:c r="G1" s="29" t="str">
        <x:v>State</x:v>
      </x:c>
      <x:c r="H1" s="29" t="str">
        <x:v>Categorization Source</x:v>
      </x:c>
      <x:c r="I1" s="29" t="str">
        <x:v>Transfer Match ID</x:v>
      </x:c>
      <x:c r="J1" s="29" t="str">
        <x:v>Source File</x:v>
      </x:c>
      <x:c r="K1" s="29" t="str">
        <x:v>Source Row</x:v>
      </x:c>
      <x:c r="L1" s="29" t="str">
        <x:v>Created UTC</x:v>
      </x:c>
      <x:c r="M1" s="29" t="str">
        <x:v>Modified UTC</x:v>
      </x:c>
      <x:c r="N1" s="29" t="str">
        <x:v>Split Sum Minor</x:v>
      </x:c>
      <x:c r="O1" s="29" t="str">
        <x:v>Posting Check</x:v>
      </x:c>
    </x:row>
    <x:row r="2">
      <x:c r="A2" s="30" t="str">
        <x:v>txn-0001</x:v>
      </x:c>
      <x:c r="B2" s="30" t="str">
        <x:v>fin-marketplace</x:v>
      </x:c>
      <x:c r="C2" s="32" t="n">
        <x:v>45688</x:v>
      </x:c>
      <x:c r="D2" s="34" t="n">
        <x:v>9600</x:v>
      </x:c>
      <x:c r="E2" s="31" t="n">
        <x:v>960000</x:v>
      </x:c>
      <x:c r="F2" s="30" t="str">
        <x:v>Product Charges</x:v>
      </x:c>
      <x:c r="G2" s="30" t="str">
        <x:v>POSTED</x:v>
      </x:c>
      <x:c r="H2" s="30" t="str">
        <x:v>MANUAL</x:v>
      </x:c>
      <x:c r="I2" s="30" t="str"/>
      <x:c r="J2" s="30" t="str">
        <x:v>imports/2025/marketplace-summary.csv</x:v>
      </x:c>
      <x:c r="K2" s="30" t="str"/>
      <x:c r="L2" s="32" t="n">
        <x:v>46254.5</x:v>
      </x:c>
      <x:c r="M2" s="32" t="n">
        <x:v>46254.5</x:v>
      </x:c>
      <x:c r="N2" s="31" t="n">
        <x:f>SUMIF('Posting Splits'!$B$2:$B$147,A2,'Posting Splits'!$D$2:$D$147)</x:f>
        <x:v>960000</x:v>
      </x:c>
      <x:c r="O2" s="30" t="str">
        <x:f>IF(G2="POSTED",IF(E2=N2,"OK","FAIL"),"N/A")</x:f>
        <x:v>OK</x:v>
      </x:c>
    </x:row>
    <x:row r="3">
      <x:c r="A3" s="30" t="str">
        <x:v>txn-0002</x:v>
      </x:c>
      <x:c r="B3" s="30" t="str">
        <x:v>fin-marketplace</x:v>
      </x:c>
      <x:c r="C3" s="32" t="n">
        <x:v>45688</x:v>
      </x:c>
      <x:c r="D3" s="34" t="n">
        <x:v>-480</x:v>
      </x:c>
      <x:c r="E3" s="31" t="n">
        <x:v>-48000</x:v>
      </x:c>
      <x:c r="F3" s="30" t="str">
        <x:v>Refunds</x:v>
      </x:c>
      <x:c r="G3" s="30" t="str">
        <x:v>POSTED</x:v>
      </x:c>
      <x:c r="H3" s="30" t="str">
        <x:v>MANUAL</x:v>
      </x:c>
      <x:c r="I3" s="30" t="str"/>
      <x:c r="J3" s="30" t="str">
        <x:v>imports/2025/marketplace-summary.csv</x:v>
      </x:c>
      <x:c r="K3" s="30" t="str"/>
      <x:c r="L3" s="32" t="n">
        <x:v>46254.5</x:v>
      </x:c>
      <x:c r="M3" s="32" t="n">
        <x:v>46254.5</x:v>
      </x:c>
      <x:c r="N3" s="31" t="n">
        <x:f>SUMIF('Posting Splits'!$B$2:$B$147,A3,'Posting Splits'!$D$2:$D$147)</x:f>
        <x:v>-48000</x:v>
      </x:c>
      <x:c r="O3" s="30" t="str">
        <x:f>IF(G3="POSTED",IF(E3=N3,"OK","FAIL"),"N/A")</x:f>
        <x:v>OK</x:v>
      </x:c>
    </x:row>
    <x:row r="4">
      <x:c r="A4" s="30" t="str">
        <x:v>txn-0003</x:v>
      </x:c>
      <x:c r="B4" s="30" t="str">
        <x:v>fin-marketplace</x:v>
      </x:c>
      <x:c r="C4" s="32" t="n">
        <x:v>45688</x:v>
      </x:c>
      <x:c r="D4" s="34" t="n">
        <x:v>105.6</x:v>
      </x:c>
      <x:c r="E4" s="31" t="n">
        <x:v>10560</x:v>
      </x:c>
      <x:c r="F4" s="30" t="str">
        <x:v>ShippingCharge</x:v>
      </x:c>
      <x:c r="G4" s="30" t="str">
        <x:v>POSTED</x:v>
      </x:c>
      <x:c r="H4" s="30" t="str">
        <x:v>MANUAL</x:v>
      </x:c>
      <x:c r="I4" s="30" t="str"/>
      <x:c r="J4" s="30" t="str">
        <x:v>imports/2025/marketplace-summary.csv</x:v>
      </x:c>
      <x:c r="K4" s="30" t="str"/>
      <x:c r="L4" s="32" t="n">
        <x:v>46254.5</x:v>
      </x:c>
      <x:c r="M4" s="32" t="n">
        <x:v>46254.5</x:v>
      </x:c>
      <x:c r="N4" s="31" t="n">
        <x:f>SUMIF('Posting Splits'!$B$2:$B$147,A4,'Posting Splits'!$D$2:$D$147)</x:f>
        <x:v>10560</x:v>
      </x:c>
      <x:c r="O4" s="30" t="str">
        <x:f>IF(G4="POSTED",IF(E4=N4,"OK","FAIL"),"N/A")</x:f>
        <x:v>OK</x:v>
      </x:c>
    </x:row>
    <x:row r="5">
      <x:c r="A5" s="30" t="str">
        <x:v>txn-0004</x:v>
      </x:c>
      <x:c r="B5" s="30" t="str">
        <x:v>fin-marketplace</x:v>
      </x:c>
      <x:c r="C5" s="32" t="n">
        <x:v>45688</x:v>
      </x:c>
      <x:c r="D5" s="34" t="n">
        <x:v>-1440</x:v>
      </x:c>
      <x:c r="E5" s="31" t="n">
        <x:v>-144000</x:v>
      </x:c>
      <x:c r="F5" s="30" t="str">
        <x:v>Commission</x:v>
      </x:c>
      <x:c r="G5" s="30" t="str">
        <x:v>POSTED</x:v>
      </x:c>
      <x:c r="H5" s="30" t="str">
        <x:v>MANUAL</x:v>
      </x:c>
      <x:c r="I5" s="30" t="str"/>
      <x:c r="J5" s="30" t="str">
        <x:v>imports/2025/marketplace-summary.csv</x:v>
      </x:c>
      <x:c r="K5" s="30" t="str"/>
      <x:c r="L5" s="32" t="n">
        <x:v>46254.5</x:v>
      </x:c>
      <x:c r="M5" s="32" t="n">
        <x:v>46254.5</x:v>
      </x:c>
      <x:c r="N5" s="31" t="n">
        <x:f>SUMIF('Posting Splits'!$B$2:$B$147,A5,'Posting Splits'!$D$2:$D$147)</x:f>
        <x:v>-144000</x:v>
      </x:c>
      <x:c r="O5" s="30" t="str">
        <x:f>IF(G5="POSTED",IF(E5=N5,"OK","FAIL"),"N/A")</x:f>
        <x:v>OK</x:v>
      </x:c>
    </x:row>
    <x:row r="6">
      <x:c r="A6" s="30" t="str">
        <x:v>txn-0005</x:v>
      </x:c>
      <x:c r="B6" s="30" t="str">
        <x:v>fin-marketplace</x:v>
      </x:c>
      <x:c r="C6" s="32" t="n">
        <x:v>45688</x:v>
      </x:c>
      <x:c r="D6" s="34" t="n">
        <x:v>-2016</x:v>
      </x:c>
      <x:c r="E6" s="31" t="n">
        <x:v>-201600</x:v>
      </x:c>
      <x:c r="F6" s="30" t="str">
        <x:v>FBAPerUnitFulfillmentFee</x:v>
      </x:c>
      <x:c r="G6" s="30" t="str">
        <x:v>POSTED</x:v>
      </x:c>
      <x:c r="H6" s="30" t="str">
        <x:v>MANUAL</x:v>
      </x:c>
      <x:c r="I6" s="30" t="str"/>
      <x:c r="J6" s="30" t="str">
        <x:v>imports/2025/marketplace-summary.csv</x:v>
      </x:c>
      <x:c r="K6" s="30" t="str"/>
      <x:c r="L6" s="32" t="n">
        <x:v>46254.5</x:v>
      </x:c>
      <x:c r="M6" s="32" t="n">
        <x:v>46254.5</x:v>
      </x:c>
      <x:c r="N6" s="31" t="n">
        <x:f>SUMIF('Posting Splits'!$B$2:$B$147,A6,'Posting Splits'!$D$2:$D$147)</x:f>
        <x:v>-201600</x:v>
      </x:c>
      <x:c r="O6" s="30" t="str">
        <x:f>IF(G6="POSTED",IF(E6=N6,"OK","FAIL"),"N/A")</x:f>
        <x:v>OK</x:v>
      </x:c>
    </x:row>
    <x:row r="7">
      <x:c r="A7" s="30" t="str">
        <x:v>txn-0006</x:v>
      </x:c>
      <x:c r="B7" s="30" t="str">
        <x:v>fin-marketplace</x:v>
      </x:c>
      <x:c r="C7" s="32" t="n">
        <x:v>45688</x:v>
      </x:c>
      <x:c r="D7" s="34" t="n">
        <x:v>-131</x:v>
      </x:c>
      <x:c r="E7" s="31" t="n">
        <x:v>-13100</x:v>
      </x:c>
      <x:c r="F7" s="30" t="str">
        <x:v>FBAStorageFee</x:v>
      </x:c>
      <x:c r="G7" s="30" t="str">
        <x:v>POSTED</x:v>
      </x:c>
      <x:c r="H7" s="30" t="str">
        <x:v>MANUAL</x:v>
      </x:c>
      <x:c r="I7" s="30" t="str"/>
      <x:c r="J7" s="30" t="str">
        <x:v>imports/2025/marketplace-summary.csv</x:v>
      </x:c>
      <x:c r="K7" s="30" t="str"/>
      <x:c r="L7" s="32" t="n">
        <x:v>46254.5</x:v>
      </x:c>
      <x:c r="M7" s="32" t="n">
        <x:v>46254.5</x:v>
      </x:c>
      <x:c r="N7" s="31" t="n">
        <x:f>SUMIF('Posting Splits'!$B$2:$B$147,A7,'Posting Splits'!$D$2:$D$147)</x:f>
        <x:v>-13100</x:v>
      </x:c>
      <x:c r="O7" s="30" t="str">
        <x:f>IF(G7="POSTED",IF(E7=N7,"OK","FAIL"),"N/A")</x:f>
        <x:v>OK</x:v>
      </x:c>
    </x:row>
    <x:row r="8">
      <x:c r="A8" s="30" t="str">
        <x:v>txn-0007</x:v>
      </x:c>
      <x:c r="B8" s="30" t="str">
        <x:v>fin-marketplace</x:v>
      </x:c>
      <x:c r="C8" s="32" t="n">
        <x:v>45688</x:v>
      </x:c>
      <x:c r="D8" s="34" t="n">
        <x:v>-5638.6</x:v>
      </x:c>
      <x:c r="E8" s="31" t="n">
        <x:v>-563860</x:v>
      </x:c>
      <x:c r="F8" s="30" t="str">
        <x:v>Marketplace payout 2025-01</x:v>
      </x:c>
      <x:c r="G8" s="30" t="str">
        <x:v>MATCHED_TRANSFER</x:v>
      </x:c>
      <x:c r="H8" s="30" t="str">
        <x:v>TRANSFER</x:v>
      </x:c>
      <x:c r="I8" s="30" t="str">
        <x:v>transfer-0001</x:v>
      </x:c>
      <x:c r="J8" s="30" t="str">
        <x:v>imports/2025/marketplace-transfers.csv</x:v>
      </x:c>
      <x:c r="K8" s="30" t="str"/>
      <x:c r="L8" s="32" t="n">
        <x:v>46254.5</x:v>
      </x:c>
      <x:c r="M8" s="32" t="n">
        <x:v>46254.5</x:v>
      </x:c>
      <x:c r="N8" s="31" t="n">
        <x:f>SUMIF('Posting Splits'!$B$2:$B$147,A8,'Posting Splits'!$D$2:$D$147)</x:f>
        <x:v>0</x:v>
      </x:c>
      <x:c r="O8" s="30" t="str">
        <x:f>IF(G8="POSTED",IF(E8=N8,"OK","FAIL"),"N/A")</x:f>
        <x:v>N/A</x:v>
      </x:c>
    </x:row>
    <x:row r="9">
      <x:c r="A9" s="30" t="str">
        <x:v>txn-0008</x:v>
      </x:c>
      <x:c r="B9" s="30" t="str">
        <x:v>fin-bank-operating</x:v>
      </x:c>
      <x:c r="C9" s="32" t="n">
        <x:v>45688</x:v>
      </x:c>
      <x:c r="D9" s="34" t="n">
        <x:v>5638.6</x:v>
      </x:c>
      <x:c r="E9" s="31" t="n">
        <x:v>563860</x:v>
      </x:c>
      <x:c r="F9" s="30" t="str">
        <x:v>Marketplace deposit 2025-01</x:v>
      </x:c>
      <x:c r="G9" s="30" t="str">
        <x:v>MATCHED_TRANSFER</x:v>
      </x:c>
      <x:c r="H9" s="30" t="str">
        <x:v>TRANSFER</x:v>
      </x:c>
      <x:c r="I9" s="30" t="str">
        <x:v>transfer-0001</x:v>
      </x:c>
      <x:c r="J9" s="30" t="str">
        <x:v>imports/2025/operating-checking.xlsx</x:v>
      </x:c>
      <x:c r="K9" s="30" t="str"/>
      <x:c r="L9" s="32" t="n">
        <x:v>46254.5</x:v>
      </x:c>
      <x:c r="M9" s="32" t="n">
        <x:v>46254.5</x:v>
      </x:c>
      <x:c r="N9" s="31" t="n">
        <x:f>SUMIF('Posting Splits'!$B$2:$B$147,A9,'Posting Splits'!$D$2:$D$147)</x:f>
        <x:v>0</x:v>
      </x:c>
      <x:c r="O9" s="30" t="str">
        <x:f>IF(G9="POSTED",IF(E9=N9,"OK","FAIL"),"N/A")</x:f>
        <x:v>N/A</x:v>
      </x:c>
    </x:row>
    <x:row r="10">
      <x:c r="A10" s="30" t="str">
        <x:v>txn-0009</x:v>
      </x:c>
      <x:c r="B10" s="30" t="str">
        <x:v>fin-marketplace</x:v>
      </x:c>
      <x:c r="C10" s="32" t="n">
        <x:v>45716</x:v>
      </x:c>
      <x:c r="D10" s="34" t="n">
        <x:v>10800</x:v>
      </x:c>
      <x:c r="E10" s="31" t="n">
        <x:v>1080000</x:v>
      </x:c>
      <x:c r="F10" s="30" t="str">
        <x:v>Product Charges</x:v>
      </x:c>
      <x:c r="G10" s="30" t="str">
        <x:v>POSTED</x:v>
      </x:c>
      <x:c r="H10" s="30" t="str">
        <x:v>MANUAL</x:v>
      </x:c>
      <x:c r="I10" s="30" t="str"/>
      <x:c r="J10" s="30" t="str">
        <x:v>imports/2025/marketplace-summary.csv</x:v>
      </x:c>
      <x:c r="K10" s="30" t="str"/>
      <x:c r="L10" s="32" t="n">
        <x:v>46254.5</x:v>
      </x:c>
      <x:c r="M10" s="32" t="n">
        <x:v>46254.5</x:v>
      </x:c>
      <x:c r="N10" s="31" t="n">
        <x:f>SUMIF('Posting Splits'!$B$2:$B$147,A10,'Posting Splits'!$D$2:$D$147)</x:f>
        <x:v>1080000</x:v>
      </x:c>
      <x:c r="O10" s="30" t="str">
        <x:f>IF(G10="POSTED",IF(E10=N10,"OK","FAIL"),"N/A")</x:f>
        <x:v>OK</x:v>
      </x:c>
    </x:row>
    <x:row r="11">
      <x:c r="A11" s="30" t="str">
        <x:v>txn-0010</x:v>
      </x:c>
      <x:c r="B11" s="30" t="str">
        <x:v>fin-marketplace</x:v>
      </x:c>
      <x:c r="C11" s="32" t="n">
        <x:v>45716</x:v>
      </x:c>
      <x:c r="D11" s="34" t="n">
        <x:v>-540</x:v>
      </x:c>
      <x:c r="E11" s="31" t="n">
        <x:v>-54000</x:v>
      </x:c>
      <x:c r="F11" s="30" t="str">
        <x:v>Refunds</x:v>
      </x:c>
      <x:c r="G11" s="30" t="str">
        <x:v>POSTED</x:v>
      </x:c>
      <x:c r="H11" s="30" t="str">
        <x:v>MANUAL</x:v>
      </x:c>
      <x:c r="I11" s="30" t="str"/>
      <x:c r="J11" s="30" t="str">
        <x:v>imports/2025/marketplace-summary.csv</x:v>
      </x:c>
      <x:c r="K11" s="30" t="str"/>
      <x:c r="L11" s="32" t="n">
        <x:v>46254.5</x:v>
      </x:c>
      <x:c r="M11" s="32" t="n">
        <x:v>46254.5</x:v>
      </x:c>
      <x:c r="N11" s="31" t="n">
        <x:f>SUMIF('Posting Splits'!$B$2:$B$147,A11,'Posting Splits'!$D$2:$D$147)</x:f>
        <x:v>-54000</x:v>
      </x:c>
      <x:c r="O11" s="30" t="str">
        <x:f>IF(G11="POSTED",IF(E11=N11,"OK","FAIL"),"N/A")</x:f>
        <x:v>OK</x:v>
      </x:c>
    </x:row>
    <x:row r="12">
      <x:c r="A12" s="30" t="str">
        <x:v>txn-0011</x:v>
      </x:c>
      <x:c r="B12" s="30" t="str">
        <x:v>fin-marketplace</x:v>
      </x:c>
      <x:c r="C12" s="32" t="n">
        <x:v>45716</x:v>
      </x:c>
      <x:c r="D12" s="34" t="n">
        <x:v>118.8</x:v>
      </x:c>
      <x:c r="E12" s="31" t="n">
        <x:v>11880</x:v>
      </x:c>
      <x:c r="F12" s="30" t="str">
        <x:v>ShippingCharge</x:v>
      </x:c>
      <x:c r="G12" s="30" t="str">
        <x:v>POSTED</x:v>
      </x:c>
      <x:c r="H12" s="30" t="str">
        <x:v>MANUAL</x:v>
      </x:c>
      <x:c r="I12" s="30" t="str"/>
      <x:c r="J12" s="30" t="str">
        <x:v>imports/2025/marketplace-summary.csv</x:v>
      </x:c>
      <x:c r="K12" s="30" t="str"/>
      <x:c r="L12" s="32" t="n">
        <x:v>46254.5</x:v>
      </x:c>
      <x:c r="M12" s="32" t="n">
        <x:v>46254.5</x:v>
      </x:c>
      <x:c r="N12" s="31" t="n">
        <x:f>SUMIF('Posting Splits'!$B$2:$B$147,A12,'Posting Splits'!$D$2:$D$147)</x:f>
        <x:v>11880</x:v>
      </x:c>
      <x:c r="O12" s="30" t="str">
        <x:f>IF(G12="POSTED",IF(E12=N12,"OK","FAIL"),"N/A")</x:f>
        <x:v>OK</x:v>
      </x:c>
    </x:row>
    <x:row r="13">
      <x:c r="A13" s="30" t="str">
        <x:v>txn-0012</x:v>
      </x:c>
      <x:c r="B13" s="30" t="str">
        <x:v>fin-marketplace</x:v>
      </x:c>
      <x:c r="C13" s="32" t="n">
        <x:v>45716</x:v>
      </x:c>
      <x:c r="D13" s="34" t="n">
        <x:v>-1620</x:v>
      </x:c>
      <x:c r="E13" s="31" t="n">
        <x:v>-162000</x:v>
      </x:c>
      <x:c r="F13" s="30" t="str">
        <x:v>Commission</x:v>
      </x:c>
      <x:c r="G13" s="30" t="str">
        <x:v>POSTED</x:v>
      </x:c>
      <x:c r="H13" s="30" t="str">
        <x:v>MANUAL</x:v>
      </x:c>
      <x:c r="I13" s="30" t="str"/>
      <x:c r="J13" s="30" t="str">
        <x:v>imports/2025/marketplace-summary.csv</x:v>
      </x:c>
      <x:c r="K13" s="30" t="str"/>
      <x:c r="L13" s="32" t="n">
        <x:v>46254.5</x:v>
      </x:c>
      <x:c r="M13" s="32" t="n">
        <x:v>46254.5</x:v>
      </x:c>
      <x:c r="N13" s="31" t="n">
        <x:f>SUMIF('Posting Splits'!$B$2:$B$147,A13,'Posting Splits'!$D$2:$D$147)</x:f>
        <x:v>-162000</x:v>
      </x:c>
      <x:c r="O13" s="30" t="str">
        <x:f>IF(G13="POSTED",IF(E13=N13,"OK","FAIL"),"N/A")</x:f>
        <x:v>OK</x:v>
      </x:c>
    </x:row>
    <x:row r="14">
      <x:c r="A14" s="30" t="str">
        <x:v>txn-0013</x:v>
      </x:c>
      <x:c r="B14" s="30" t="str">
        <x:v>fin-marketplace</x:v>
      </x:c>
      <x:c r="C14" s="32" t="n">
        <x:v>45716</x:v>
      </x:c>
      <x:c r="D14" s="34" t="n">
        <x:v>-2268</x:v>
      </x:c>
      <x:c r="E14" s="31" t="n">
        <x:v>-226800</x:v>
      </x:c>
      <x:c r="F14" s="30" t="str">
        <x:v>FBAPerUnitFulfillmentFee</x:v>
      </x:c>
      <x:c r="G14" s="30" t="str">
        <x:v>POSTED</x:v>
      </x:c>
      <x:c r="H14" s="30" t="str">
        <x:v>MANUAL</x:v>
      </x:c>
      <x:c r="I14" s="30" t="str"/>
      <x:c r="J14" s="30" t="str">
        <x:v>imports/2025/marketplace-summary.csv</x:v>
      </x:c>
      <x:c r="K14" s="30" t="str"/>
      <x:c r="L14" s="32" t="n">
        <x:v>46254.5</x:v>
      </x:c>
      <x:c r="M14" s="32" t="n">
        <x:v>46254.5</x:v>
      </x:c>
      <x:c r="N14" s="31" t="n">
        <x:f>SUMIF('Posting Splits'!$B$2:$B$147,A14,'Posting Splits'!$D$2:$D$147)</x:f>
        <x:v>-226800</x:v>
      </x:c>
      <x:c r="O14" s="30" t="str">
        <x:f>IF(G14="POSTED",IF(E14=N14,"OK","FAIL"),"N/A")</x:f>
        <x:v>OK</x:v>
      </x:c>
    </x:row>
    <x:row r="15">
      <x:c r="A15" s="30" t="str">
        <x:v>txn-0014</x:v>
      </x:c>
      <x:c r="B15" s="30" t="str">
        <x:v>fin-marketplace</x:v>
      </x:c>
      <x:c r="C15" s="32" t="n">
        <x:v>45716</x:v>
      </x:c>
      <x:c r="D15" s="34" t="n">
        <x:v>-142</x:v>
      </x:c>
      <x:c r="E15" s="31" t="n">
        <x:v>-14200</x:v>
      </x:c>
      <x:c r="F15" s="30" t="str">
        <x:v>FBAStorageFee</x:v>
      </x:c>
      <x:c r="G15" s="30" t="str">
        <x:v>POSTED</x:v>
      </x:c>
      <x:c r="H15" s="30" t="str">
        <x:v>MANUAL</x:v>
      </x:c>
      <x:c r="I15" s="30" t="str"/>
      <x:c r="J15" s="30" t="str">
        <x:v>imports/2025/marketplace-summary.csv</x:v>
      </x:c>
      <x:c r="K15" s="30" t="str"/>
      <x:c r="L15" s="32" t="n">
        <x:v>46254.5</x:v>
      </x:c>
      <x:c r="M15" s="32" t="n">
        <x:v>46254.5</x:v>
      </x:c>
      <x:c r="N15" s="31" t="n">
        <x:f>SUMIF('Posting Splits'!$B$2:$B$147,A15,'Posting Splits'!$D$2:$D$147)</x:f>
        <x:v>-14200</x:v>
      </x:c>
      <x:c r="O15" s="30" t="str">
        <x:f>IF(G15="POSTED",IF(E15=N15,"OK","FAIL"),"N/A")</x:f>
        <x:v>OK</x:v>
      </x:c>
    </x:row>
    <x:row r="16">
      <x:c r="A16" s="30" t="str">
        <x:v>txn-0015</x:v>
      </x:c>
      <x:c r="B16" s="30" t="str">
        <x:v>fin-marketplace</x:v>
      </x:c>
      <x:c r="C16" s="32" t="n">
        <x:v>45716</x:v>
      </x:c>
      <x:c r="D16" s="34" t="n">
        <x:v>-6348.8</x:v>
      </x:c>
      <x:c r="E16" s="31" t="n">
        <x:v>-634880</x:v>
      </x:c>
      <x:c r="F16" s="30" t="str">
        <x:v>Marketplace payout 2025-02</x:v>
      </x:c>
      <x:c r="G16" s="30" t="str">
        <x:v>MATCHED_TRANSFER</x:v>
      </x:c>
      <x:c r="H16" s="30" t="str">
        <x:v>TRANSFER</x:v>
      </x:c>
      <x:c r="I16" s="30" t="str">
        <x:v>transfer-0002</x:v>
      </x:c>
      <x:c r="J16" s="30" t="str">
        <x:v>imports/2025/marketplace-transfers.csv</x:v>
      </x:c>
      <x:c r="K16" s="30" t="str"/>
      <x:c r="L16" s="32" t="n">
        <x:v>46254.5</x:v>
      </x:c>
      <x:c r="M16" s="32" t="n">
        <x:v>46254.5</x:v>
      </x:c>
      <x:c r="N16" s="31" t="n">
        <x:f>SUMIF('Posting Splits'!$B$2:$B$147,A16,'Posting Splits'!$D$2:$D$147)</x:f>
        <x:v>0</x:v>
      </x:c>
      <x:c r="O16" s="30" t="str">
        <x:f>IF(G16="POSTED",IF(E16=N16,"OK","FAIL"),"N/A")</x:f>
        <x:v>N/A</x:v>
      </x:c>
    </x:row>
    <x:row r="17">
      <x:c r="A17" s="30" t="str">
        <x:v>txn-0016</x:v>
      </x:c>
      <x:c r="B17" s="30" t="str">
        <x:v>fin-bank-operating</x:v>
      </x:c>
      <x:c r="C17" s="32" t="n">
        <x:v>45716</x:v>
      </x:c>
      <x:c r="D17" s="34" t="n">
        <x:v>6348.8</x:v>
      </x:c>
      <x:c r="E17" s="31" t="n">
        <x:v>634880</x:v>
      </x:c>
      <x:c r="F17" s="30" t="str">
        <x:v>Marketplace deposit 2025-02</x:v>
      </x:c>
      <x:c r="G17" s="30" t="str">
        <x:v>MATCHED_TRANSFER</x:v>
      </x:c>
      <x:c r="H17" s="30" t="str">
        <x:v>TRANSFER</x:v>
      </x:c>
      <x:c r="I17" s="30" t="str">
        <x:v>transfer-0002</x:v>
      </x:c>
      <x:c r="J17" s="30" t="str">
        <x:v>imports/2025/operating-checking.xlsx</x:v>
      </x:c>
      <x:c r="K17" s="30" t="str"/>
      <x:c r="L17" s="32" t="n">
        <x:v>46254.5</x:v>
      </x:c>
      <x:c r="M17" s="32" t="n">
        <x:v>46254.5</x:v>
      </x:c>
      <x:c r="N17" s="31" t="n">
        <x:f>SUMIF('Posting Splits'!$B$2:$B$147,A17,'Posting Splits'!$D$2:$D$147)</x:f>
        <x:v>0</x:v>
      </x:c>
      <x:c r="O17" s="30" t="str">
        <x:f>IF(G17="POSTED",IF(E17=N17,"OK","FAIL"),"N/A")</x:f>
        <x:v>N/A</x:v>
      </x:c>
    </x:row>
    <x:row r="18">
      <x:c r="A18" s="30" t="str">
        <x:v>txn-0017</x:v>
      </x:c>
      <x:c r="B18" s="30" t="str">
        <x:v>fin-marketplace</x:v>
      </x:c>
      <x:c r="C18" s="32" t="n">
        <x:v>45747</x:v>
      </x:c>
      <x:c r="D18" s="34" t="n">
        <x:v>11200</x:v>
      </x:c>
      <x:c r="E18" s="31" t="n">
        <x:v>1120000</x:v>
      </x:c>
      <x:c r="F18" s="30" t="str">
        <x:v>Product Charges</x:v>
      </x:c>
      <x:c r="G18" s="30" t="str">
        <x:v>POSTED</x:v>
      </x:c>
      <x:c r="H18" s="30" t="str">
        <x:v>MANUAL</x:v>
      </x:c>
      <x:c r="I18" s="30" t="str"/>
      <x:c r="J18" s="30" t="str">
        <x:v>imports/2025/marketplace-summary.csv</x:v>
      </x:c>
      <x:c r="K18" s="30" t="str"/>
      <x:c r="L18" s="32" t="n">
        <x:v>46254.5</x:v>
      </x:c>
      <x:c r="M18" s="32" t="n">
        <x:v>46254.5</x:v>
      </x:c>
      <x:c r="N18" s="31" t="n">
        <x:f>SUMIF('Posting Splits'!$B$2:$B$147,A18,'Posting Splits'!$D$2:$D$147)</x:f>
        <x:v>1120000</x:v>
      </x:c>
      <x:c r="O18" s="30" t="str">
        <x:f>IF(G18="POSTED",IF(E18=N18,"OK","FAIL"),"N/A")</x:f>
        <x:v>OK</x:v>
      </x:c>
    </x:row>
    <x:row r="19">
      <x:c r="A19" s="30" t="str">
        <x:v>txn-0018</x:v>
      </x:c>
      <x:c r="B19" s="30" t="str">
        <x:v>fin-marketplace</x:v>
      </x:c>
      <x:c r="C19" s="32" t="n">
        <x:v>45747</x:v>
      </x:c>
      <x:c r="D19" s="34" t="n">
        <x:v>-560</x:v>
      </x:c>
      <x:c r="E19" s="31" t="n">
        <x:v>-56000</x:v>
      </x:c>
      <x:c r="F19" s="30" t="str">
        <x:v>Refunds</x:v>
      </x:c>
      <x:c r="G19" s="30" t="str">
        <x:v>POSTED</x:v>
      </x:c>
      <x:c r="H19" s="30" t="str">
        <x:v>MANUAL</x:v>
      </x:c>
      <x:c r="I19" s="30" t="str"/>
      <x:c r="J19" s="30" t="str">
        <x:v>imports/2025/marketplace-summary.csv</x:v>
      </x:c>
      <x:c r="K19" s="30" t="str"/>
      <x:c r="L19" s="32" t="n">
        <x:v>46254.5</x:v>
      </x:c>
      <x:c r="M19" s="32" t="n">
        <x:v>46254.5</x:v>
      </x:c>
      <x:c r="N19" s="31" t="n">
        <x:f>SUMIF('Posting Splits'!$B$2:$B$147,A19,'Posting Splits'!$D$2:$D$147)</x:f>
        <x:v>-56000</x:v>
      </x:c>
      <x:c r="O19" s="30" t="str">
        <x:f>IF(G19="POSTED",IF(E19=N19,"OK","FAIL"),"N/A")</x:f>
        <x:v>OK</x:v>
      </x:c>
    </x:row>
    <x:row r="20">
      <x:c r="A20" s="30" t="str">
        <x:v>txn-0019</x:v>
      </x:c>
      <x:c r="B20" s="30" t="str">
        <x:v>fin-marketplace</x:v>
      </x:c>
      <x:c r="C20" s="32" t="n">
        <x:v>45747</x:v>
      </x:c>
      <x:c r="D20" s="34" t="n">
        <x:v>123.2</x:v>
      </x:c>
      <x:c r="E20" s="31" t="n">
        <x:v>12320</x:v>
      </x:c>
      <x:c r="F20" s="30" t="str">
        <x:v>ShippingCharge</x:v>
      </x:c>
      <x:c r="G20" s="30" t="str">
        <x:v>POSTED</x:v>
      </x:c>
      <x:c r="H20" s="30" t="str">
        <x:v>MANUAL</x:v>
      </x:c>
      <x:c r="I20" s="30" t="str"/>
      <x:c r="J20" s="30" t="str">
        <x:v>imports/2025/marketplace-summary.csv</x:v>
      </x:c>
      <x:c r="K20" s="30" t="str"/>
      <x:c r="L20" s="32" t="n">
        <x:v>46254.5</x:v>
      </x:c>
      <x:c r="M20" s="32" t="n">
        <x:v>46254.5</x:v>
      </x:c>
      <x:c r="N20" s="31" t="n">
        <x:f>SUMIF('Posting Splits'!$B$2:$B$147,A20,'Posting Splits'!$D$2:$D$147)</x:f>
        <x:v>12320</x:v>
      </x:c>
      <x:c r="O20" s="30" t="str">
        <x:f>IF(G20="POSTED",IF(E20=N20,"OK","FAIL"),"N/A")</x:f>
        <x:v>OK</x:v>
      </x:c>
    </x:row>
    <x:row r="21">
      <x:c r="A21" s="30" t="str">
        <x:v>txn-0020</x:v>
      </x:c>
      <x:c r="B21" s="30" t="str">
        <x:v>fin-marketplace</x:v>
      </x:c>
      <x:c r="C21" s="32" t="n">
        <x:v>45747</x:v>
      </x:c>
      <x:c r="D21" s="34" t="n">
        <x:v>-1680</x:v>
      </x:c>
      <x:c r="E21" s="31" t="n">
        <x:v>-168000</x:v>
      </x:c>
      <x:c r="F21" s="30" t="str">
        <x:v>Commission</x:v>
      </x:c>
      <x:c r="G21" s="30" t="str">
        <x:v>POSTED</x:v>
      </x:c>
      <x:c r="H21" s="30" t="str">
        <x:v>MANUAL</x:v>
      </x:c>
      <x:c r="I21" s="30" t="str"/>
      <x:c r="J21" s="30" t="str">
        <x:v>imports/2025/marketplace-summary.csv</x:v>
      </x:c>
      <x:c r="K21" s="30" t="str"/>
      <x:c r="L21" s="32" t="n">
        <x:v>46254.5</x:v>
      </x:c>
      <x:c r="M21" s="32" t="n">
        <x:v>46254.5</x:v>
      </x:c>
      <x:c r="N21" s="31" t="n">
        <x:f>SUMIF('Posting Splits'!$B$2:$B$147,A21,'Posting Splits'!$D$2:$D$147)</x:f>
        <x:v>-168000</x:v>
      </x:c>
      <x:c r="O21" s="30" t="str">
        <x:f>IF(G21="POSTED",IF(E21=N21,"OK","FAIL"),"N/A")</x:f>
        <x:v>OK</x:v>
      </x:c>
    </x:row>
    <x:row r="22">
      <x:c r="A22" s="30" t="str">
        <x:v>txn-0021</x:v>
      </x:c>
      <x:c r="B22" s="30" t="str">
        <x:v>fin-marketplace</x:v>
      </x:c>
      <x:c r="C22" s="32" t="n">
        <x:v>45747</x:v>
      </x:c>
      <x:c r="D22" s="34" t="n">
        <x:v>-2520</x:v>
      </x:c>
      <x:c r="E22" s="31" t="n">
        <x:v>-252000</x:v>
      </x:c>
      <x:c r="F22" s="30" t="str">
        <x:v>FBAPerUnitFulfillmentFee</x:v>
      </x:c>
      <x:c r="G22" s="30" t="str">
        <x:v>POSTED</x:v>
      </x:c>
      <x:c r="H22" s="30" t="str">
        <x:v>MANUAL</x:v>
      </x:c>
      <x:c r="I22" s="30" t="str"/>
      <x:c r="J22" s="30" t="str">
        <x:v>imports/2025/marketplace-summary.csv</x:v>
      </x:c>
      <x:c r="K22" s="30" t="str"/>
      <x:c r="L22" s="32" t="n">
        <x:v>46254.5</x:v>
      </x:c>
      <x:c r="M22" s="32" t="n">
        <x:v>46254.5</x:v>
      </x:c>
      <x:c r="N22" s="31" t="n">
        <x:f>SUMIF('Posting Splits'!$B$2:$B$147,A22,'Posting Splits'!$D$2:$D$147)</x:f>
        <x:v>-252000</x:v>
      </x:c>
      <x:c r="O22" s="30" t="str">
        <x:f>IF(G22="POSTED",IF(E22=N22,"OK","FAIL"),"N/A")</x:f>
        <x:v>OK</x:v>
      </x:c>
    </x:row>
    <x:row r="23">
      <x:c r="A23" s="30" t="str">
        <x:v>txn-0022</x:v>
      </x:c>
      <x:c r="B23" s="30" t="str">
        <x:v>fin-marketplace</x:v>
      </x:c>
      <x:c r="C23" s="32" t="n">
        <x:v>45747</x:v>
      </x:c>
      <x:c r="D23" s="34" t="n">
        <x:v>-153</x:v>
      </x:c>
      <x:c r="E23" s="31" t="n">
        <x:v>-15300</x:v>
      </x:c>
      <x:c r="F23" s="30" t="str">
        <x:v>FBAStorageFee</x:v>
      </x:c>
      <x:c r="G23" s="30" t="str">
        <x:v>POSTED</x:v>
      </x:c>
      <x:c r="H23" s="30" t="str">
        <x:v>MANUAL</x:v>
      </x:c>
      <x:c r="I23" s="30" t="str"/>
      <x:c r="J23" s="30" t="str">
        <x:v>imports/2025/marketplace-summary.csv</x:v>
      </x:c>
      <x:c r="K23" s="30" t="str"/>
      <x:c r="L23" s="32" t="n">
        <x:v>46254.5</x:v>
      </x:c>
      <x:c r="M23" s="32" t="n">
        <x:v>46254.5</x:v>
      </x:c>
      <x:c r="N23" s="31" t="n">
        <x:f>SUMIF('Posting Splits'!$B$2:$B$147,A23,'Posting Splits'!$D$2:$D$147)</x:f>
        <x:v>-15300</x:v>
      </x:c>
      <x:c r="O23" s="30" t="str">
        <x:f>IF(G23="POSTED",IF(E23=N23,"OK","FAIL"),"N/A")</x:f>
        <x:v>OK</x:v>
      </x:c>
    </x:row>
    <x:row r="24">
      <x:c r="A24" s="30" t="str">
        <x:v>txn-0023</x:v>
      </x:c>
      <x:c r="B24" s="30" t="str">
        <x:v>fin-marketplace</x:v>
      </x:c>
      <x:c r="C24" s="32" t="n">
        <x:v>45747</x:v>
      </x:c>
      <x:c r="D24" s="34" t="n">
        <x:v>-6410.2</x:v>
      </x:c>
      <x:c r="E24" s="31" t="n">
        <x:v>-641020</x:v>
      </x:c>
      <x:c r="F24" s="30" t="str">
        <x:v>Marketplace payout 2025-03</x:v>
      </x:c>
      <x:c r="G24" s="30" t="str">
        <x:v>MATCHED_TRANSFER</x:v>
      </x:c>
      <x:c r="H24" s="30" t="str">
        <x:v>TRANSFER</x:v>
      </x:c>
      <x:c r="I24" s="30" t="str">
        <x:v>transfer-0003</x:v>
      </x:c>
      <x:c r="J24" s="30" t="str">
        <x:v>imports/2025/marketplace-transfers.csv</x:v>
      </x:c>
      <x:c r="K24" s="30" t="str"/>
      <x:c r="L24" s="32" t="n">
        <x:v>46254.5</x:v>
      </x:c>
      <x:c r="M24" s="32" t="n">
        <x:v>46254.5</x:v>
      </x:c>
      <x:c r="N24" s="31" t="n">
        <x:f>SUMIF('Posting Splits'!$B$2:$B$147,A24,'Posting Splits'!$D$2:$D$147)</x:f>
        <x:v>0</x:v>
      </x:c>
      <x:c r="O24" s="30" t="str">
        <x:f>IF(G24="POSTED",IF(E24=N24,"OK","FAIL"),"N/A")</x:f>
        <x:v>N/A</x:v>
      </x:c>
    </x:row>
    <x:row r="25">
      <x:c r="A25" s="30" t="str">
        <x:v>txn-0024</x:v>
      </x:c>
      <x:c r="B25" s="30" t="str">
        <x:v>fin-bank-operating</x:v>
      </x:c>
      <x:c r="C25" s="32" t="n">
        <x:v>45747</x:v>
      </x:c>
      <x:c r="D25" s="34" t="n">
        <x:v>6410.2</x:v>
      </x:c>
      <x:c r="E25" s="31" t="n">
        <x:v>641020</x:v>
      </x:c>
      <x:c r="F25" s="30" t="str">
        <x:v>Marketplace deposit 2025-03</x:v>
      </x:c>
      <x:c r="G25" s="30" t="str">
        <x:v>MATCHED_TRANSFER</x:v>
      </x:c>
      <x:c r="H25" s="30" t="str">
        <x:v>TRANSFER</x:v>
      </x:c>
      <x:c r="I25" s="30" t="str">
        <x:v>transfer-0003</x:v>
      </x:c>
      <x:c r="J25" s="30" t="str">
        <x:v>imports/2025/operating-checking.xlsx</x:v>
      </x:c>
      <x:c r="K25" s="30" t="str"/>
      <x:c r="L25" s="32" t="n">
        <x:v>46254.5</x:v>
      </x:c>
      <x:c r="M25" s="32" t="n">
        <x:v>46254.5</x:v>
      </x:c>
      <x:c r="N25" s="31" t="n">
        <x:f>SUMIF('Posting Splits'!$B$2:$B$147,A25,'Posting Splits'!$D$2:$D$147)</x:f>
        <x:v>0</x:v>
      </x:c>
      <x:c r="O25" s="30" t="str">
        <x:f>IF(G25="POSTED",IF(E25=N25,"OK","FAIL"),"N/A")</x:f>
        <x:v>N/A</x:v>
      </x:c>
    </x:row>
    <x:row r="26">
      <x:c r="A26" s="30" t="str">
        <x:v>txn-0025</x:v>
      </x:c>
      <x:c r="B26" s="30" t="str">
        <x:v>fin-marketplace</x:v>
      </x:c>
      <x:c r="C26" s="32" t="n">
        <x:v>45777</x:v>
      </x:c>
      <x:c r="D26" s="34" t="n">
        <x:v>11800</x:v>
      </x:c>
      <x:c r="E26" s="31" t="n">
        <x:v>1180000</x:v>
      </x:c>
      <x:c r="F26" s="30" t="str">
        <x:v>Product Charges</x:v>
      </x:c>
      <x:c r="G26" s="30" t="str">
        <x:v>POSTED</x:v>
      </x:c>
      <x:c r="H26" s="30" t="str">
        <x:v>MANUAL</x:v>
      </x:c>
      <x:c r="I26" s="30" t="str"/>
      <x:c r="J26" s="30" t="str">
        <x:v>imports/2025/marketplace-summary.csv</x:v>
      </x:c>
      <x:c r="K26" s="30" t="str"/>
      <x:c r="L26" s="32" t="n">
        <x:v>46254.5</x:v>
      </x:c>
      <x:c r="M26" s="32" t="n">
        <x:v>46254.5</x:v>
      </x:c>
      <x:c r="N26" s="31" t="n">
        <x:f>SUMIF('Posting Splits'!$B$2:$B$147,A26,'Posting Splits'!$D$2:$D$147)</x:f>
        <x:v>1180000</x:v>
      </x:c>
      <x:c r="O26" s="30" t="str">
        <x:f>IF(G26="POSTED",IF(E26=N26,"OK","FAIL"),"N/A")</x:f>
        <x:v>OK</x:v>
      </x:c>
    </x:row>
    <x:row r="27">
      <x:c r="A27" s="30" t="str">
        <x:v>txn-0026</x:v>
      </x:c>
      <x:c r="B27" s="30" t="str">
        <x:v>fin-marketplace</x:v>
      </x:c>
      <x:c r="C27" s="32" t="n">
        <x:v>45777</x:v>
      </x:c>
      <x:c r="D27" s="34" t="n">
        <x:v>-767</x:v>
      </x:c>
      <x:c r="E27" s="31" t="n">
        <x:v>-76700</x:v>
      </x:c>
      <x:c r="F27" s="30" t="str">
        <x:v>Refunds</x:v>
      </x:c>
      <x:c r="G27" s="30" t="str">
        <x:v>POSTED</x:v>
      </x:c>
      <x:c r="H27" s="30" t="str">
        <x:v>MANUAL</x:v>
      </x:c>
      <x:c r="I27" s="30" t="str"/>
      <x:c r="J27" s="30" t="str">
        <x:v>imports/2025/marketplace-summary.csv</x:v>
      </x:c>
      <x:c r="K27" s="30" t="str"/>
      <x:c r="L27" s="32" t="n">
        <x:v>46254.5</x:v>
      </x:c>
      <x:c r="M27" s="32" t="n">
        <x:v>46254.5</x:v>
      </x:c>
      <x:c r="N27" s="31" t="n">
        <x:f>SUMIF('Posting Splits'!$B$2:$B$147,A27,'Posting Splits'!$D$2:$D$147)</x:f>
        <x:v>-76700</x:v>
      </x:c>
      <x:c r="O27" s="30" t="str">
        <x:f>IF(G27="POSTED",IF(E27=N27,"OK","FAIL"),"N/A")</x:f>
        <x:v>OK</x:v>
      </x:c>
    </x:row>
    <x:row r="28">
      <x:c r="A28" s="30" t="str">
        <x:v>txn-0027</x:v>
      </x:c>
      <x:c r="B28" s="30" t="str">
        <x:v>fin-marketplace</x:v>
      </x:c>
      <x:c r="C28" s="32" t="n">
        <x:v>45777</x:v>
      </x:c>
      <x:c r="D28" s="34" t="n">
        <x:v>129.8</x:v>
      </x:c>
      <x:c r="E28" s="31" t="n">
        <x:v>12980</x:v>
      </x:c>
      <x:c r="F28" s="30" t="str">
        <x:v>ShippingCharge</x:v>
      </x:c>
      <x:c r="G28" s="30" t="str">
        <x:v>POSTED</x:v>
      </x:c>
      <x:c r="H28" s="30" t="str">
        <x:v>MANUAL</x:v>
      </x:c>
      <x:c r="I28" s="30" t="str"/>
      <x:c r="J28" s="30" t="str">
        <x:v>imports/2025/marketplace-summary.csv</x:v>
      </x:c>
      <x:c r="K28" s="30" t="str"/>
      <x:c r="L28" s="32" t="n">
        <x:v>46254.5</x:v>
      </x:c>
      <x:c r="M28" s="32" t="n">
        <x:v>46254.5</x:v>
      </x:c>
      <x:c r="N28" s="31" t="n">
        <x:f>SUMIF('Posting Splits'!$B$2:$B$147,A28,'Posting Splits'!$D$2:$D$147)</x:f>
        <x:v>12980</x:v>
      </x:c>
      <x:c r="O28" s="30" t="str">
        <x:f>IF(G28="POSTED",IF(E28=N28,"OK","FAIL"),"N/A")</x:f>
        <x:v>OK</x:v>
      </x:c>
    </x:row>
    <x:row r="29">
      <x:c r="A29" s="30" t="str">
        <x:v>txn-0028</x:v>
      </x:c>
      <x:c r="B29" s="30" t="str">
        <x:v>fin-marketplace</x:v>
      </x:c>
      <x:c r="C29" s="32" t="n">
        <x:v>45777</x:v>
      </x:c>
      <x:c r="D29" s="34" t="n">
        <x:v>-1770</x:v>
      </x:c>
      <x:c r="E29" s="31" t="n">
        <x:v>-177000</x:v>
      </x:c>
      <x:c r="F29" s="30" t="str">
        <x:v>Commission</x:v>
      </x:c>
      <x:c r="G29" s="30" t="str">
        <x:v>POSTED</x:v>
      </x:c>
      <x:c r="H29" s="30" t="str">
        <x:v>MANUAL</x:v>
      </x:c>
      <x:c r="I29" s="30" t="str"/>
      <x:c r="J29" s="30" t="str">
        <x:v>imports/2025/marketplace-summary.csv</x:v>
      </x:c>
      <x:c r="K29" s="30" t="str"/>
      <x:c r="L29" s="32" t="n">
        <x:v>46254.5</x:v>
      </x:c>
      <x:c r="M29" s="32" t="n">
        <x:v>46254.5</x:v>
      </x:c>
      <x:c r="N29" s="31" t="n">
        <x:f>SUMIF('Posting Splits'!$B$2:$B$147,A29,'Posting Splits'!$D$2:$D$147)</x:f>
        <x:v>-177000</x:v>
      </x:c>
      <x:c r="O29" s="30" t="str">
        <x:f>IF(G29="POSTED",IF(E29=N29,"OK","FAIL"),"N/A")</x:f>
        <x:v>OK</x:v>
      </x:c>
    </x:row>
    <x:row r="30">
      <x:c r="A30" s="30" t="str">
        <x:v>txn-0029</x:v>
      </x:c>
      <x:c r="B30" s="30" t="str">
        <x:v>fin-marketplace</x:v>
      </x:c>
      <x:c r="C30" s="32" t="n">
        <x:v>45777</x:v>
      </x:c>
      <x:c r="D30" s="34" t="n">
        <x:v>-2478</x:v>
      </x:c>
      <x:c r="E30" s="31" t="n">
        <x:v>-247800</x:v>
      </x:c>
      <x:c r="F30" s="30" t="str">
        <x:v>FBAPerUnitFulfillmentFee</x:v>
      </x:c>
      <x:c r="G30" s="30" t="str">
        <x:v>POSTED</x:v>
      </x:c>
      <x:c r="H30" s="30" t="str">
        <x:v>MANUAL</x:v>
      </x:c>
      <x:c r="I30" s="30" t="str"/>
      <x:c r="J30" s="30" t="str">
        <x:v>imports/2025/marketplace-summary.csv</x:v>
      </x:c>
      <x:c r="K30" s="30" t="str"/>
      <x:c r="L30" s="32" t="n">
        <x:v>46254.5</x:v>
      </x:c>
      <x:c r="M30" s="32" t="n">
        <x:v>46254.5</x:v>
      </x:c>
      <x:c r="N30" s="31" t="n">
        <x:f>SUMIF('Posting Splits'!$B$2:$B$147,A30,'Posting Splits'!$D$2:$D$147)</x:f>
        <x:v>-247800</x:v>
      </x:c>
      <x:c r="O30" s="30" t="str">
        <x:f>IF(G30="POSTED",IF(E30=N30,"OK","FAIL"),"N/A")</x:f>
        <x:v>OK</x:v>
      </x:c>
    </x:row>
    <x:row r="31">
      <x:c r="A31" s="30" t="str">
        <x:v>txn-0030</x:v>
      </x:c>
      <x:c r="B31" s="30" t="str">
        <x:v>fin-marketplace</x:v>
      </x:c>
      <x:c r="C31" s="32" t="n">
        <x:v>45777</x:v>
      </x:c>
      <x:c r="D31" s="34" t="n">
        <x:v>-164</x:v>
      </x:c>
      <x:c r="E31" s="31" t="n">
        <x:v>-16400</x:v>
      </x:c>
      <x:c r="F31" s="30" t="str">
        <x:v>FBAStorageFee</x:v>
      </x:c>
      <x:c r="G31" s="30" t="str">
        <x:v>POSTED</x:v>
      </x:c>
      <x:c r="H31" s="30" t="str">
        <x:v>MANUAL</x:v>
      </x:c>
      <x:c r="I31" s="30" t="str"/>
      <x:c r="J31" s="30" t="str">
        <x:v>imports/2025/marketplace-summary.csv</x:v>
      </x:c>
      <x:c r="K31" s="30" t="str"/>
      <x:c r="L31" s="32" t="n">
        <x:v>46254.5</x:v>
      </x:c>
      <x:c r="M31" s="32" t="n">
        <x:v>46254.5</x:v>
      </x:c>
      <x:c r="N31" s="31" t="n">
        <x:f>SUMIF('Posting Splits'!$B$2:$B$147,A31,'Posting Splits'!$D$2:$D$147)</x:f>
        <x:v>-16400</x:v>
      </x:c>
      <x:c r="O31" s="30" t="str">
        <x:f>IF(G31="POSTED",IF(E31=N31,"OK","FAIL"),"N/A")</x:f>
        <x:v>OK</x:v>
      </x:c>
    </x:row>
    <x:row r="32">
      <x:c r="A32" s="30" t="str">
        <x:v>txn-0031</x:v>
      </x:c>
      <x:c r="B32" s="30" t="str">
        <x:v>fin-marketplace</x:v>
      </x:c>
      <x:c r="C32" s="32" t="n">
        <x:v>45777</x:v>
      </x:c>
      <x:c r="D32" s="34" t="n">
        <x:v>-6750.8</x:v>
      </x:c>
      <x:c r="E32" s="31" t="n">
        <x:v>-675080</x:v>
      </x:c>
      <x:c r="F32" s="30" t="str">
        <x:v>Marketplace payout 2025-04</x:v>
      </x:c>
      <x:c r="G32" s="30" t="str">
        <x:v>MATCHED_TRANSFER</x:v>
      </x:c>
      <x:c r="H32" s="30" t="str">
        <x:v>TRANSFER</x:v>
      </x:c>
      <x:c r="I32" s="30" t="str">
        <x:v>transfer-0004</x:v>
      </x:c>
      <x:c r="J32" s="30" t="str">
        <x:v>imports/2025/marketplace-transfers.csv</x:v>
      </x:c>
      <x:c r="K32" s="30" t="str"/>
      <x:c r="L32" s="32" t="n">
        <x:v>46254.5</x:v>
      </x:c>
      <x:c r="M32" s="32" t="n">
        <x:v>46254.5</x:v>
      </x:c>
      <x:c r="N32" s="31" t="n">
        <x:f>SUMIF('Posting Splits'!$B$2:$B$147,A32,'Posting Splits'!$D$2:$D$147)</x:f>
        <x:v>0</x:v>
      </x:c>
      <x:c r="O32" s="30" t="str">
        <x:f>IF(G32="POSTED",IF(E32=N32,"OK","FAIL"),"N/A")</x:f>
        <x:v>N/A</x:v>
      </x:c>
    </x:row>
    <x:row r="33">
      <x:c r="A33" s="30" t="str">
        <x:v>txn-0032</x:v>
      </x:c>
      <x:c r="B33" s="30" t="str">
        <x:v>fin-bank-operating</x:v>
      </x:c>
      <x:c r="C33" s="32" t="n">
        <x:v>45777</x:v>
      </x:c>
      <x:c r="D33" s="34" t="n">
        <x:v>6750.8</x:v>
      </x:c>
      <x:c r="E33" s="31" t="n">
        <x:v>675080</x:v>
      </x:c>
      <x:c r="F33" s="30" t="str">
        <x:v>Marketplace deposit 2025-04</x:v>
      </x:c>
      <x:c r="G33" s="30" t="str">
        <x:v>MATCHED_TRANSFER</x:v>
      </x:c>
      <x:c r="H33" s="30" t="str">
        <x:v>TRANSFER</x:v>
      </x:c>
      <x:c r="I33" s="30" t="str">
        <x:v>transfer-0004</x:v>
      </x:c>
      <x:c r="J33" s="30" t="str">
        <x:v>imports/2025/operating-checking.xlsx</x:v>
      </x:c>
      <x:c r="K33" s="30" t="str"/>
      <x:c r="L33" s="32" t="n">
        <x:v>46254.5</x:v>
      </x:c>
      <x:c r="M33" s="32" t="n">
        <x:v>46254.5</x:v>
      </x:c>
      <x:c r="N33" s="31" t="n">
        <x:f>SUMIF('Posting Splits'!$B$2:$B$147,A33,'Posting Splits'!$D$2:$D$147)</x:f>
        <x:v>0</x:v>
      </x:c>
      <x:c r="O33" s="30" t="str">
        <x:f>IF(G33="POSTED",IF(E33=N33,"OK","FAIL"),"N/A")</x:f>
        <x:v>N/A</x:v>
      </x:c>
    </x:row>
    <x:row r="34">
      <x:c r="A34" s="30" t="str">
        <x:v>txn-0033</x:v>
      </x:c>
      <x:c r="B34" s="30" t="str">
        <x:v>fin-marketplace</x:v>
      </x:c>
      <x:c r="C34" s="32" t="n">
        <x:v>45808</x:v>
      </x:c>
      <x:c r="D34" s="34" t="n">
        <x:v>14200</x:v>
      </x:c>
      <x:c r="E34" s="31" t="n">
        <x:v>1420000</x:v>
      </x:c>
      <x:c r="F34" s="30" t="str">
        <x:v>Product Charges</x:v>
      </x:c>
      <x:c r="G34" s="30" t="str">
        <x:v>POSTED</x:v>
      </x:c>
      <x:c r="H34" s="30" t="str">
        <x:v>MANUAL</x:v>
      </x:c>
      <x:c r="I34" s="30" t="str"/>
      <x:c r="J34" s="30" t="str">
        <x:v>imports/2025/marketplace-summary.csv</x:v>
      </x:c>
      <x:c r="K34" s="30" t="str"/>
      <x:c r="L34" s="32" t="n">
        <x:v>46254.5</x:v>
      </x:c>
      <x:c r="M34" s="32" t="n">
        <x:v>46254.5</x:v>
      </x:c>
      <x:c r="N34" s="31" t="n">
        <x:f>SUMIF('Posting Splits'!$B$2:$B$147,A34,'Posting Splits'!$D$2:$D$147)</x:f>
        <x:v>1420000</x:v>
      </x:c>
      <x:c r="O34" s="30" t="str">
        <x:f>IF(G34="POSTED",IF(E34=N34,"OK","FAIL"),"N/A")</x:f>
        <x:v>OK</x:v>
      </x:c>
    </x:row>
    <x:row r="35">
      <x:c r="A35" s="30" t="str">
        <x:v>txn-0034</x:v>
      </x:c>
      <x:c r="B35" s="30" t="str">
        <x:v>fin-marketplace</x:v>
      </x:c>
      <x:c r="C35" s="32" t="n">
        <x:v>45808</x:v>
      </x:c>
      <x:c r="D35" s="34" t="n">
        <x:v>-710</x:v>
      </x:c>
      <x:c r="E35" s="31" t="n">
        <x:v>-71000</x:v>
      </x:c>
      <x:c r="F35" s="30" t="str">
        <x:v>Refunds</x:v>
      </x:c>
      <x:c r="G35" s="30" t="str">
        <x:v>POSTED</x:v>
      </x:c>
      <x:c r="H35" s="30" t="str">
        <x:v>MANUAL</x:v>
      </x:c>
      <x:c r="I35" s="30" t="str"/>
      <x:c r="J35" s="30" t="str">
        <x:v>imports/2025/marketplace-summary.csv</x:v>
      </x:c>
      <x:c r="K35" s="30" t="str"/>
      <x:c r="L35" s="32" t="n">
        <x:v>46254.5</x:v>
      </x:c>
      <x:c r="M35" s="32" t="n">
        <x:v>46254.5</x:v>
      </x:c>
      <x:c r="N35" s="31" t="n">
        <x:f>SUMIF('Posting Splits'!$B$2:$B$147,A35,'Posting Splits'!$D$2:$D$147)</x:f>
        <x:v>-71000</x:v>
      </x:c>
      <x:c r="O35" s="30" t="str">
        <x:f>IF(G35="POSTED",IF(E35=N35,"OK","FAIL"),"N/A")</x:f>
        <x:v>OK</x:v>
      </x:c>
    </x:row>
    <x:row r="36">
      <x:c r="A36" s="30" t="str">
        <x:v>txn-0035</x:v>
      </x:c>
      <x:c r="B36" s="30" t="str">
        <x:v>fin-marketplace</x:v>
      </x:c>
      <x:c r="C36" s="32" t="n">
        <x:v>45808</x:v>
      </x:c>
      <x:c r="D36" s="34" t="n">
        <x:v>156.2</x:v>
      </x:c>
      <x:c r="E36" s="31" t="n">
        <x:v>15620</x:v>
      </x:c>
      <x:c r="F36" s="30" t="str">
        <x:v>ShippingCharge</x:v>
      </x:c>
      <x:c r="G36" s="30" t="str">
        <x:v>POSTED</x:v>
      </x:c>
      <x:c r="H36" s="30" t="str">
        <x:v>MANUAL</x:v>
      </x:c>
      <x:c r="I36" s="30" t="str"/>
      <x:c r="J36" s="30" t="str">
        <x:v>imports/2025/marketplace-summary.csv</x:v>
      </x:c>
      <x:c r="K36" s="30" t="str"/>
      <x:c r="L36" s="32" t="n">
        <x:v>46254.5</x:v>
      </x:c>
      <x:c r="M36" s="32" t="n">
        <x:v>46254.5</x:v>
      </x:c>
      <x:c r="N36" s="31" t="n">
        <x:f>SUMIF('Posting Splits'!$B$2:$B$147,A36,'Posting Splits'!$D$2:$D$147)</x:f>
        <x:v>15620</x:v>
      </x:c>
      <x:c r="O36" s="30" t="str">
        <x:f>IF(G36="POSTED",IF(E36=N36,"OK","FAIL"),"N/A")</x:f>
        <x:v>OK</x:v>
      </x:c>
    </x:row>
    <x:row r="37">
      <x:c r="A37" s="30" t="str">
        <x:v>txn-0036</x:v>
      </x:c>
      <x:c r="B37" s="30" t="str">
        <x:v>fin-marketplace</x:v>
      </x:c>
      <x:c r="C37" s="32" t="n">
        <x:v>45808</x:v>
      </x:c>
      <x:c r="D37" s="34" t="n">
        <x:v>-2130</x:v>
      </x:c>
      <x:c r="E37" s="31" t="n">
        <x:v>-213000</x:v>
      </x:c>
      <x:c r="F37" s="30" t="str">
        <x:v>Commission</x:v>
      </x:c>
      <x:c r="G37" s="30" t="str">
        <x:v>POSTED</x:v>
      </x:c>
      <x:c r="H37" s="30" t="str">
        <x:v>MANUAL</x:v>
      </x:c>
      <x:c r="I37" s="30" t="str"/>
      <x:c r="J37" s="30" t="str">
        <x:v>imports/2025/marketplace-summary.csv</x:v>
      </x:c>
      <x:c r="K37" s="30" t="str"/>
      <x:c r="L37" s="32" t="n">
        <x:v>46254.5</x:v>
      </x:c>
      <x:c r="M37" s="32" t="n">
        <x:v>46254.5</x:v>
      </x:c>
      <x:c r="N37" s="31" t="n">
        <x:f>SUMIF('Posting Splits'!$B$2:$B$147,A37,'Posting Splits'!$D$2:$D$147)</x:f>
        <x:v>-213000</x:v>
      </x:c>
      <x:c r="O37" s="30" t="str">
        <x:f>IF(G37="POSTED",IF(E37=N37,"OK","FAIL"),"N/A")</x:f>
        <x:v>OK</x:v>
      </x:c>
    </x:row>
    <x:row r="38">
      <x:c r="A38" s="30" t="str">
        <x:v>txn-0037</x:v>
      </x:c>
      <x:c r="B38" s="30" t="str">
        <x:v>fin-marketplace</x:v>
      </x:c>
      <x:c r="C38" s="32" t="n">
        <x:v>45808</x:v>
      </x:c>
      <x:c r="D38" s="34" t="n">
        <x:v>-2982</x:v>
      </x:c>
      <x:c r="E38" s="31" t="n">
        <x:v>-298200</x:v>
      </x:c>
      <x:c r="F38" s="30" t="str">
        <x:v>FBAPerUnitFulfillmentFee</x:v>
      </x:c>
      <x:c r="G38" s="30" t="str">
        <x:v>POSTED</x:v>
      </x:c>
      <x:c r="H38" s="30" t="str">
        <x:v>MANUAL</x:v>
      </x:c>
      <x:c r="I38" s="30" t="str"/>
      <x:c r="J38" s="30" t="str">
        <x:v>imports/2025/marketplace-summary.csv</x:v>
      </x:c>
      <x:c r="K38" s="30" t="str"/>
      <x:c r="L38" s="32" t="n">
        <x:v>46254.5</x:v>
      </x:c>
      <x:c r="M38" s="32" t="n">
        <x:v>46254.5</x:v>
      </x:c>
      <x:c r="N38" s="31" t="n">
        <x:f>SUMIF('Posting Splits'!$B$2:$B$147,A38,'Posting Splits'!$D$2:$D$147)</x:f>
        <x:v>-298200</x:v>
      </x:c>
      <x:c r="O38" s="30" t="str">
        <x:f>IF(G38="POSTED",IF(E38=N38,"OK","FAIL"),"N/A")</x:f>
        <x:v>OK</x:v>
      </x:c>
    </x:row>
    <x:row r="39">
      <x:c r="A39" s="30" t="str">
        <x:v>txn-0038</x:v>
      </x:c>
      <x:c r="B39" s="30" t="str">
        <x:v>fin-marketplace</x:v>
      </x:c>
      <x:c r="C39" s="32" t="n">
        <x:v>45808</x:v>
      </x:c>
      <x:c r="D39" s="34" t="n">
        <x:v>-175</x:v>
      </x:c>
      <x:c r="E39" s="31" t="n">
        <x:v>-17500</x:v>
      </x:c>
      <x:c r="F39" s="30" t="str">
        <x:v>FBAStorageFee</x:v>
      </x:c>
      <x:c r="G39" s="30" t="str">
        <x:v>POSTED</x:v>
      </x:c>
      <x:c r="H39" s="30" t="str">
        <x:v>MANUAL</x:v>
      </x:c>
      <x:c r="I39" s="30" t="str"/>
      <x:c r="J39" s="30" t="str">
        <x:v>imports/2025/marketplace-summary.csv</x:v>
      </x:c>
      <x:c r="K39" s="30" t="str"/>
      <x:c r="L39" s="32" t="n">
        <x:v>46254.5</x:v>
      </x:c>
      <x:c r="M39" s="32" t="n">
        <x:v>46254.5</x:v>
      </x:c>
      <x:c r="N39" s="31" t="n">
        <x:f>SUMIF('Posting Splits'!$B$2:$B$147,A39,'Posting Splits'!$D$2:$D$147)</x:f>
        <x:v>-17500</x:v>
      </x:c>
      <x:c r="O39" s="30" t="str">
        <x:f>IF(G39="POSTED",IF(E39=N39,"OK","FAIL"),"N/A")</x:f>
        <x:v>OK</x:v>
      </x:c>
    </x:row>
    <x:row r="40">
      <x:c r="A40" s="30" t="str">
        <x:v>txn-0039</x:v>
      </x:c>
      <x:c r="B40" s="30" t="str">
        <x:v>fin-marketplace</x:v>
      </x:c>
      <x:c r="C40" s="32" t="n">
        <x:v>45808</x:v>
      </x:c>
      <x:c r="D40" s="34" t="n">
        <x:v>-8359.2</x:v>
      </x:c>
      <x:c r="E40" s="31" t="n">
        <x:v>-835920</x:v>
      </x:c>
      <x:c r="F40" s="30" t="str">
        <x:v>Marketplace payout 2025-05</x:v>
      </x:c>
      <x:c r="G40" s="30" t="str">
        <x:v>MATCHED_TRANSFER</x:v>
      </x:c>
      <x:c r="H40" s="30" t="str">
        <x:v>TRANSFER</x:v>
      </x:c>
      <x:c r="I40" s="30" t="str">
        <x:v>transfer-0005</x:v>
      </x:c>
      <x:c r="J40" s="30" t="str">
        <x:v>imports/2025/marketplace-transfers.csv</x:v>
      </x:c>
      <x:c r="K40" s="30" t="str"/>
      <x:c r="L40" s="32" t="n">
        <x:v>46254.5</x:v>
      </x:c>
      <x:c r="M40" s="32" t="n">
        <x:v>46254.5</x:v>
      </x:c>
      <x:c r="N40" s="31" t="n">
        <x:f>SUMIF('Posting Splits'!$B$2:$B$147,A40,'Posting Splits'!$D$2:$D$147)</x:f>
        <x:v>0</x:v>
      </x:c>
      <x:c r="O40" s="30" t="str">
        <x:f>IF(G40="POSTED",IF(E40=N40,"OK","FAIL"),"N/A")</x:f>
        <x:v>N/A</x:v>
      </x:c>
    </x:row>
    <x:row r="41">
      <x:c r="A41" s="30" t="str">
        <x:v>txn-0040</x:v>
      </x:c>
      <x:c r="B41" s="30" t="str">
        <x:v>fin-bank-operating</x:v>
      </x:c>
      <x:c r="C41" s="32" t="n">
        <x:v>45808</x:v>
      </x:c>
      <x:c r="D41" s="34" t="n">
        <x:v>8359.2</x:v>
      </x:c>
      <x:c r="E41" s="31" t="n">
        <x:v>835920</x:v>
      </x:c>
      <x:c r="F41" s="30" t="str">
        <x:v>Marketplace deposit 2025-05</x:v>
      </x:c>
      <x:c r="G41" s="30" t="str">
        <x:v>MATCHED_TRANSFER</x:v>
      </x:c>
      <x:c r="H41" s="30" t="str">
        <x:v>TRANSFER</x:v>
      </x:c>
      <x:c r="I41" s="30" t="str">
        <x:v>transfer-0005</x:v>
      </x:c>
      <x:c r="J41" s="30" t="str">
        <x:v>imports/2025/operating-checking.xlsx</x:v>
      </x:c>
      <x:c r="K41" s="30" t="str"/>
      <x:c r="L41" s="32" t="n">
        <x:v>46254.5</x:v>
      </x:c>
      <x:c r="M41" s="32" t="n">
        <x:v>46254.5</x:v>
      </x:c>
      <x:c r="N41" s="31" t="n">
        <x:f>SUMIF('Posting Splits'!$B$2:$B$147,A41,'Posting Splits'!$D$2:$D$147)</x:f>
        <x:v>0</x:v>
      </x:c>
      <x:c r="O41" s="30" t="str">
        <x:f>IF(G41="POSTED",IF(E41=N41,"OK","FAIL"),"N/A")</x:f>
        <x:v>N/A</x:v>
      </x:c>
    </x:row>
    <x:row r="42">
      <x:c r="A42" s="30" t="str">
        <x:v>txn-0041</x:v>
      </x:c>
      <x:c r="B42" s="30" t="str">
        <x:v>fin-marketplace</x:v>
      </x:c>
      <x:c r="C42" s="32" t="n">
        <x:v>45838</x:v>
      </x:c>
      <x:c r="D42" s="34" t="n">
        <x:v>13800</x:v>
      </x:c>
      <x:c r="E42" s="31" t="n">
        <x:v>1380000</x:v>
      </x:c>
      <x:c r="F42" s="30" t="str">
        <x:v>Product Charges</x:v>
      </x:c>
      <x:c r="G42" s="30" t="str">
        <x:v>POSTED</x:v>
      </x:c>
      <x:c r="H42" s="30" t="str">
        <x:v>MANUAL</x:v>
      </x:c>
      <x:c r="I42" s="30" t="str"/>
      <x:c r="J42" s="30" t="str">
        <x:v>imports/2025/marketplace-summary.csv</x:v>
      </x:c>
      <x:c r="K42" s="30" t="str"/>
      <x:c r="L42" s="32" t="n">
        <x:v>46254.5</x:v>
      </x:c>
      <x:c r="M42" s="32" t="n">
        <x:v>46254.5</x:v>
      </x:c>
      <x:c r="N42" s="31" t="n">
        <x:f>SUMIF('Posting Splits'!$B$2:$B$147,A42,'Posting Splits'!$D$2:$D$147)</x:f>
        <x:v>1380000</x:v>
      </x:c>
      <x:c r="O42" s="30" t="str">
        <x:f>IF(G42="POSTED",IF(E42=N42,"OK","FAIL"),"N/A")</x:f>
        <x:v>OK</x:v>
      </x:c>
    </x:row>
    <x:row r="43">
      <x:c r="A43" s="30" t="str">
        <x:v>txn-0042</x:v>
      </x:c>
      <x:c r="B43" s="30" t="str">
        <x:v>fin-marketplace</x:v>
      </x:c>
      <x:c r="C43" s="32" t="n">
        <x:v>45838</x:v>
      </x:c>
      <x:c r="D43" s="34" t="n">
        <x:v>-690</x:v>
      </x:c>
      <x:c r="E43" s="31" t="n">
        <x:v>-69000</x:v>
      </x:c>
      <x:c r="F43" s="30" t="str">
        <x:v>Refunds</x:v>
      </x:c>
      <x:c r="G43" s="30" t="str">
        <x:v>POSTED</x:v>
      </x:c>
      <x:c r="H43" s="30" t="str">
        <x:v>MANUAL</x:v>
      </x:c>
      <x:c r="I43" s="30" t="str"/>
      <x:c r="J43" s="30" t="str">
        <x:v>imports/2025/marketplace-summary.csv</x:v>
      </x:c>
      <x:c r="K43" s="30" t="str"/>
      <x:c r="L43" s="32" t="n">
        <x:v>46254.5</x:v>
      </x:c>
      <x:c r="M43" s="32" t="n">
        <x:v>46254.5</x:v>
      </x:c>
      <x:c r="N43" s="31" t="n">
        <x:f>SUMIF('Posting Splits'!$B$2:$B$147,A43,'Posting Splits'!$D$2:$D$147)</x:f>
        <x:v>-69000</x:v>
      </x:c>
      <x:c r="O43" s="30" t="str">
        <x:f>IF(G43="POSTED",IF(E43=N43,"OK","FAIL"),"N/A")</x:f>
        <x:v>OK</x:v>
      </x:c>
    </x:row>
    <x:row r="44">
      <x:c r="A44" s="30" t="str">
        <x:v>txn-0043</x:v>
      </x:c>
      <x:c r="B44" s="30" t="str">
        <x:v>fin-marketplace</x:v>
      </x:c>
      <x:c r="C44" s="32" t="n">
        <x:v>45838</x:v>
      </x:c>
      <x:c r="D44" s="34" t="n">
        <x:v>151.8</x:v>
      </x:c>
      <x:c r="E44" s="31" t="n">
        <x:v>15180</x:v>
      </x:c>
      <x:c r="F44" s="30" t="str">
        <x:v>ShippingCharge</x:v>
      </x:c>
      <x:c r="G44" s="30" t="str">
        <x:v>POSTED</x:v>
      </x:c>
      <x:c r="H44" s="30" t="str">
        <x:v>MANUAL</x:v>
      </x:c>
      <x:c r="I44" s="30" t="str"/>
      <x:c r="J44" s="30" t="str">
        <x:v>imports/2025/marketplace-summary.csv</x:v>
      </x:c>
      <x:c r="K44" s="30" t="str"/>
      <x:c r="L44" s="32" t="n">
        <x:v>46254.5</x:v>
      </x:c>
      <x:c r="M44" s="32" t="n">
        <x:v>46254.5</x:v>
      </x:c>
      <x:c r="N44" s="31" t="n">
        <x:f>SUMIF('Posting Splits'!$B$2:$B$147,A44,'Posting Splits'!$D$2:$D$147)</x:f>
        <x:v>15180</x:v>
      </x:c>
      <x:c r="O44" s="30" t="str">
        <x:f>IF(G44="POSTED",IF(E44=N44,"OK","FAIL"),"N/A")</x:f>
        <x:v>OK</x:v>
      </x:c>
    </x:row>
    <x:row r="45">
      <x:c r="A45" s="30" t="str">
        <x:v>txn-0044</x:v>
      </x:c>
      <x:c r="B45" s="30" t="str">
        <x:v>fin-marketplace</x:v>
      </x:c>
      <x:c r="C45" s="32" t="n">
        <x:v>45838</x:v>
      </x:c>
      <x:c r="D45" s="34" t="n">
        <x:v>-2070</x:v>
      </x:c>
      <x:c r="E45" s="31" t="n">
        <x:v>-207000</x:v>
      </x:c>
      <x:c r="F45" s="30" t="str">
        <x:v>Commission</x:v>
      </x:c>
      <x:c r="G45" s="30" t="str">
        <x:v>POSTED</x:v>
      </x:c>
      <x:c r="H45" s="30" t="str">
        <x:v>MANUAL</x:v>
      </x:c>
      <x:c r="I45" s="30" t="str"/>
      <x:c r="J45" s="30" t="str">
        <x:v>imports/2025/marketplace-summary.csv</x:v>
      </x:c>
      <x:c r="K45" s="30" t="str"/>
      <x:c r="L45" s="32" t="n">
        <x:v>46254.5</x:v>
      </x:c>
      <x:c r="M45" s="32" t="n">
        <x:v>46254.5</x:v>
      </x:c>
      <x:c r="N45" s="31" t="n">
        <x:f>SUMIF('Posting Splits'!$B$2:$B$147,A45,'Posting Splits'!$D$2:$D$147)</x:f>
        <x:v>-207000</x:v>
      </x:c>
      <x:c r="O45" s="30" t="str">
        <x:f>IF(G45="POSTED",IF(E45=N45,"OK","FAIL"),"N/A")</x:f>
        <x:v>OK</x:v>
      </x:c>
    </x:row>
    <x:row r="46">
      <x:c r="A46" s="30" t="str">
        <x:v>txn-0045</x:v>
      </x:c>
      <x:c r="B46" s="30" t="str">
        <x:v>fin-marketplace</x:v>
      </x:c>
      <x:c r="C46" s="32" t="n">
        <x:v>45838</x:v>
      </x:c>
      <x:c r="D46" s="34" t="n">
        <x:v>-3105</x:v>
      </x:c>
      <x:c r="E46" s="31" t="n">
        <x:v>-310500</x:v>
      </x:c>
      <x:c r="F46" s="30" t="str">
        <x:v>FBAPerUnitFulfillmentFee</x:v>
      </x:c>
      <x:c r="G46" s="30" t="str">
        <x:v>POSTED</x:v>
      </x:c>
      <x:c r="H46" s="30" t="str">
        <x:v>MANUAL</x:v>
      </x:c>
      <x:c r="I46" s="30" t="str"/>
      <x:c r="J46" s="30" t="str">
        <x:v>imports/2025/marketplace-summary.csv</x:v>
      </x:c>
      <x:c r="K46" s="30" t="str"/>
      <x:c r="L46" s="32" t="n">
        <x:v>46254.5</x:v>
      </x:c>
      <x:c r="M46" s="32" t="n">
        <x:v>46254.5</x:v>
      </x:c>
      <x:c r="N46" s="31" t="n">
        <x:f>SUMIF('Posting Splits'!$B$2:$B$147,A46,'Posting Splits'!$D$2:$D$147)</x:f>
        <x:v>-310500</x:v>
      </x:c>
      <x:c r="O46" s="30" t="str">
        <x:f>IF(G46="POSTED",IF(E46=N46,"OK","FAIL"),"N/A")</x:f>
        <x:v>OK</x:v>
      </x:c>
    </x:row>
    <x:row r="47">
      <x:c r="A47" s="30" t="str">
        <x:v>txn-0046</x:v>
      </x:c>
      <x:c r="B47" s="30" t="str">
        <x:v>fin-marketplace</x:v>
      </x:c>
      <x:c r="C47" s="32" t="n">
        <x:v>45838</x:v>
      </x:c>
      <x:c r="D47" s="34" t="n">
        <x:v>-186</x:v>
      </x:c>
      <x:c r="E47" s="31" t="n">
        <x:v>-18600</x:v>
      </x:c>
      <x:c r="F47" s="30" t="str">
        <x:v>FBAStorageFee</x:v>
      </x:c>
      <x:c r="G47" s="30" t="str">
        <x:v>POSTED</x:v>
      </x:c>
      <x:c r="H47" s="30" t="str">
        <x:v>MANUAL</x:v>
      </x:c>
      <x:c r="I47" s="30" t="str"/>
      <x:c r="J47" s="30" t="str">
        <x:v>imports/2025/marketplace-summary.csv</x:v>
      </x:c>
      <x:c r="K47" s="30" t="str"/>
      <x:c r="L47" s="32" t="n">
        <x:v>46254.5</x:v>
      </x:c>
      <x:c r="M47" s="32" t="n">
        <x:v>46254.5</x:v>
      </x:c>
      <x:c r="N47" s="31" t="n">
        <x:f>SUMIF('Posting Splits'!$B$2:$B$147,A47,'Posting Splits'!$D$2:$D$147)</x:f>
        <x:v>-18600</x:v>
      </x:c>
      <x:c r="O47" s="30" t="str">
        <x:f>IF(G47="POSTED",IF(E47=N47,"OK","FAIL"),"N/A")</x:f>
        <x:v>OK</x:v>
      </x:c>
    </x:row>
    <x:row r="48">
      <x:c r="A48" s="30" t="str">
        <x:v>txn-0047</x:v>
      </x:c>
      <x:c r="B48" s="30" t="str">
        <x:v>fin-marketplace</x:v>
      </x:c>
      <x:c r="C48" s="32" t="n">
        <x:v>45838</x:v>
      </x:c>
      <x:c r="D48" s="34" t="n">
        <x:v>-7900.8</x:v>
      </x:c>
      <x:c r="E48" s="31" t="n">
        <x:v>-790080</x:v>
      </x:c>
      <x:c r="F48" s="30" t="str">
        <x:v>Marketplace payout 2025-06</x:v>
      </x:c>
      <x:c r="G48" s="30" t="str">
        <x:v>MATCHED_TRANSFER</x:v>
      </x:c>
      <x:c r="H48" s="30" t="str">
        <x:v>TRANSFER</x:v>
      </x:c>
      <x:c r="I48" s="30" t="str">
        <x:v>transfer-0006</x:v>
      </x:c>
      <x:c r="J48" s="30" t="str">
        <x:v>imports/2025/marketplace-transfers.csv</x:v>
      </x:c>
      <x:c r="K48" s="30" t="str"/>
      <x:c r="L48" s="32" t="n">
        <x:v>46254.5</x:v>
      </x:c>
      <x:c r="M48" s="32" t="n">
        <x:v>46254.5</x:v>
      </x:c>
      <x:c r="N48" s="31" t="n">
        <x:f>SUMIF('Posting Splits'!$B$2:$B$147,A48,'Posting Splits'!$D$2:$D$147)</x:f>
        <x:v>0</x:v>
      </x:c>
      <x:c r="O48" s="30" t="str">
        <x:f>IF(G48="POSTED",IF(E48=N48,"OK","FAIL"),"N/A")</x:f>
        <x:v>N/A</x:v>
      </x:c>
    </x:row>
    <x:row r="49">
      <x:c r="A49" s="30" t="str">
        <x:v>txn-0048</x:v>
      </x:c>
      <x:c r="B49" s="30" t="str">
        <x:v>fin-bank-operating</x:v>
      </x:c>
      <x:c r="C49" s="32" t="n">
        <x:v>45838</x:v>
      </x:c>
      <x:c r="D49" s="34" t="n">
        <x:v>7900.8</x:v>
      </x:c>
      <x:c r="E49" s="31" t="n">
        <x:v>790080</x:v>
      </x:c>
      <x:c r="F49" s="30" t="str">
        <x:v>Marketplace deposit 2025-06</x:v>
      </x:c>
      <x:c r="G49" s="30" t="str">
        <x:v>MATCHED_TRANSFER</x:v>
      </x:c>
      <x:c r="H49" s="30" t="str">
        <x:v>TRANSFER</x:v>
      </x:c>
      <x:c r="I49" s="30" t="str">
        <x:v>transfer-0006</x:v>
      </x:c>
      <x:c r="J49" s="30" t="str">
        <x:v>imports/2025/operating-checking.xlsx</x:v>
      </x:c>
      <x:c r="K49" s="30" t="str"/>
      <x:c r="L49" s="32" t="n">
        <x:v>46254.5</x:v>
      </x:c>
      <x:c r="M49" s="32" t="n">
        <x:v>46254.5</x:v>
      </x:c>
      <x:c r="N49" s="31" t="n">
        <x:f>SUMIF('Posting Splits'!$B$2:$B$147,A49,'Posting Splits'!$D$2:$D$147)</x:f>
        <x:v>0</x:v>
      </x:c>
      <x:c r="O49" s="30" t="str">
        <x:f>IF(G49="POSTED",IF(E49=N49,"OK","FAIL"),"N/A")</x:f>
        <x:v>N/A</x:v>
      </x:c>
    </x:row>
    <x:row r="50">
      <x:c r="A50" s="30" t="str">
        <x:v>txn-0049</x:v>
      </x:c>
      <x:c r="B50" s="30" t="str">
        <x:v>fin-marketplace</x:v>
      </x:c>
      <x:c r="C50" s="32" t="n">
        <x:v>45869</x:v>
      </x:c>
      <x:c r="D50" s="34" t="n">
        <x:v>19600</x:v>
      </x:c>
      <x:c r="E50" s="31" t="n">
        <x:v>1960000</x:v>
      </x:c>
      <x:c r="F50" s="30" t="str">
        <x:v>Product Charges</x:v>
      </x:c>
      <x:c r="G50" s="30" t="str">
        <x:v>POSTED</x:v>
      </x:c>
      <x:c r="H50" s="30" t="str">
        <x:v>MANUAL</x:v>
      </x:c>
      <x:c r="I50" s="30" t="str"/>
      <x:c r="J50" s="30" t="str">
        <x:v>imports/2025/marketplace-summary.csv</x:v>
      </x:c>
      <x:c r="K50" s="30" t="str"/>
      <x:c r="L50" s="32" t="n">
        <x:v>46254.5</x:v>
      </x:c>
      <x:c r="M50" s="32" t="n">
        <x:v>46254.5</x:v>
      </x:c>
      <x:c r="N50" s="31" t="n">
        <x:f>SUMIF('Posting Splits'!$B$2:$B$147,A50,'Posting Splits'!$D$2:$D$147)</x:f>
        <x:v>1960000</x:v>
      </x:c>
      <x:c r="O50" s="30" t="str">
        <x:f>IF(G50="POSTED",IF(E50=N50,"OK","FAIL"),"N/A")</x:f>
        <x:v>OK</x:v>
      </x:c>
    </x:row>
    <x:row r="51">
      <x:c r="A51" s="30" t="str">
        <x:v>txn-0050</x:v>
      </x:c>
      <x:c r="B51" s="30" t="str">
        <x:v>fin-marketplace</x:v>
      </x:c>
      <x:c r="C51" s="32" t="n">
        <x:v>45869</x:v>
      </x:c>
      <x:c r="D51" s="34" t="n">
        <x:v>-980</x:v>
      </x:c>
      <x:c r="E51" s="31" t="n">
        <x:v>-98000</x:v>
      </x:c>
      <x:c r="F51" s="30" t="str">
        <x:v>Refunds</x:v>
      </x:c>
      <x:c r="G51" s="30" t="str">
        <x:v>POSTED</x:v>
      </x:c>
      <x:c r="H51" s="30" t="str">
        <x:v>MANUAL</x:v>
      </x:c>
      <x:c r="I51" s="30" t="str"/>
      <x:c r="J51" s="30" t="str">
        <x:v>imports/2025/marketplace-summary.csv</x:v>
      </x:c>
      <x:c r="K51" s="30" t="str"/>
      <x:c r="L51" s="32" t="n">
        <x:v>46254.5</x:v>
      </x:c>
      <x:c r="M51" s="32" t="n">
        <x:v>46254.5</x:v>
      </x:c>
      <x:c r="N51" s="31" t="n">
        <x:f>SUMIF('Posting Splits'!$B$2:$B$147,A51,'Posting Splits'!$D$2:$D$147)</x:f>
        <x:v>-98000</x:v>
      </x:c>
      <x:c r="O51" s="30" t="str">
        <x:f>IF(G51="POSTED",IF(E51=N51,"OK","FAIL"),"N/A")</x:f>
        <x:v>OK</x:v>
      </x:c>
    </x:row>
    <x:row r="52">
      <x:c r="A52" s="30" t="str">
        <x:v>txn-0051</x:v>
      </x:c>
      <x:c r="B52" s="30" t="str">
        <x:v>fin-marketplace</x:v>
      </x:c>
      <x:c r="C52" s="32" t="n">
        <x:v>45869</x:v>
      </x:c>
      <x:c r="D52" s="34" t="n">
        <x:v>215.6</x:v>
      </x:c>
      <x:c r="E52" s="31" t="n">
        <x:v>21560</x:v>
      </x:c>
      <x:c r="F52" s="30" t="str">
        <x:v>ShippingCharge</x:v>
      </x:c>
      <x:c r="G52" s="30" t="str">
        <x:v>POSTED</x:v>
      </x:c>
      <x:c r="H52" s="30" t="str">
        <x:v>MANUAL</x:v>
      </x:c>
      <x:c r="I52" s="30" t="str"/>
      <x:c r="J52" s="30" t="str">
        <x:v>imports/2025/marketplace-summary.csv</x:v>
      </x:c>
      <x:c r="K52" s="30" t="str"/>
      <x:c r="L52" s="32" t="n">
        <x:v>46254.5</x:v>
      </x:c>
      <x:c r="M52" s="32" t="n">
        <x:v>46254.5</x:v>
      </x:c>
      <x:c r="N52" s="31" t="n">
        <x:f>SUMIF('Posting Splits'!$B$2:$B$147,A52,'Posting Splits'!$D$2:$D$147)</x:f>
        <x:v>21560</x:v>
      </x:c>
      <x:c r="O52" s="30" t="str">
        <x:f>IF(G52="POSTED",IF(E52=N52,"OK","FAIL"),"N/A")</x:f>
        <x:v>OK</x:v>
      </x:c>
    </x:row>
    <x:row r="53">
      <x:c r="A53" s="30" t="str">
        <x:v>txn-0052</x:v>
      </x:c>
      <x:c r="B53" s="30" t="str">
        <x:v>fin-marketplace</x:v>
      </x:c>
      <x:c r="C53" s="32" t="n">
        <x:v>45869</x:v>
      </x:c>
      <x:c r="D53" s="34" t="n">
        <x:v>-2940</x:v>
      </x:c>
      <x:c r="E53" s="31" t="n">
        <x:v>-294000</x:v>
      </x:c>
      <x:c r="F53" s="30" t="str">
        <x:v>Commission</x:v>
      </x:c>
      <x:c r="G53" s="30" t="str">
        <x:v>POSTED</x:v>
      </x:c>
      <x:c r="H53" s="30" t="str">
        <x:v>MANUAL</x:v>
      </x:c>
      <x:c r="I53" s="30" t="str"/>
      <x:c r="J53" s="30" t="str">
        <x:v>imports/2025/marketplace-summary.csv</x:v>
      </x:c>
      <x:c r="K53" s="30" t="str"/>
      <x:c r="L53" s="32" t="n">
        <x:v>46254.5</x:v>
      </x:c>
      <x:c r="M53" s="32" t="n">
        <x:v>46254.5</x:v>
      </x:c>
      <x:c r="N53" s="31" t="n">
        <x:f>SUMIF('Posting Splits'!$B$2:$B$147,A53,'Posting Splits'!$D$2:$D$147)</x:f>
        <x:v>-294000</x:v>
      </x:c>
      <x:c r="O53" s="30" t="str">
        <x:f>IF(G53="POSTED",IF(E53=N53,"OK","FAIL"),"N/A")</x:f>
        <x:v>OK</x:v>
      </x:c>
    </x:row>
    <x:row r="54">
      <x:c r="A54" s="30" t="str">
        <x:v>txn-0053</x:v>
      </x:c>
      <x:c r="B54" s="30" t="str">
        <x:v>fin-marketplace</x:v>
      </x:c>
      <x:c r="C54" s="32" t="n">
        <x:v>45869</x:v>
      </x:c>
      <x:c r="D54" s="34" t="n">
        <x:v>-4116</x:v>
      </x:c>
      <x:c r="E54" s="31" t="n">
        <x:v>-411600</x:v>
      </x:c>
      <x:c r="F54" s="30" t="str">
        <x:v>FBAPerUnitFulfillmentFee</x:v>
      </x:c>
      <x:c r="G54" s="30" t="str">
        <x:v>POSTED</x:v>
      </x:c>
      <x:c r="H54" s="30" t="str">
        <x:v>MANUAL</x:v>
      </x:c>
      <x:c r="I54" s="30" t="str"/>
      <x:c r="J54" s="30" t="str">
        <x:v>imports/2025/marketplace-summary.csv</x:v>
      </x:c>
      <x:c r="K54" s="30" t="str"/>
      <x:c r="L54" s="32" t="n">
        <x:v>46254.5</x:v>
      </x:c>
      <x:c r="M54" s="32" t="n">
        <x:v>46254.5</x:v>
      </x:c>
      <x:c r="N54" s="31" t="n">
        <x:f>SUMIF('Posting Splits'!$B$2:$B$147,A54,'Posting Splits'!$D$2:$D$147)</x:f>
        <x:v>-411600</x:v>
      </x:c>
      <x:c r="O54" s="30" t="str">
        <x:f>IF(G54="POSTED",IF(E54=N54,"OK","FAIL"),"N/A")</x:f>
        <x:v>OK</x:v>
      </x:c>
    </x:row>
    <x:row r="55">
      <x:c r="A55" s="30" t="str">
        <x:v>txn-0054</x:v>
      </x:c>
      <x:c r="B55" s="30" t="str">
        <x:v>fin-marketplace</x:v>
      </x:c>
      <x:c r="C55" s="32" t="n">
        <x:v>45869</x:v>
      </x:c>
      <x:c r="D55" s="34" t="n">
        <x:v>-197</x:v>
      </x:c>
      <x:c r="E55" s="31" t="n">
        <x:v>-19700</x:v>
      </x:c>
      <x:c r="F55" s="30" t="str">
        <x:v>FBAStorageFee</x:v>
      </x:c>
      <x:c r="G55" s="30" t="str">
        <x:v>POSTED</x:v>
      </x:c>
      <x:c r="H55" s="30" t="str">
        <x:v>MANUAL</x:v>
      </x:c>
      <x:c r="I55" s="30" t="str"/>
      <x:c r="J55" s="30" t="str">
        <x:v>imports/2025/marketplace-summary.csv</x:v>
      </x:c>
      <x:c r="K55" s="30" t="str"/>
      <x:c r="L55" s="32" t="n">
        <x:v>46254.5</x:v>
      </x:c>
      <x:c r="M55" s="32" t="n">
        <x:v>46254.5</x:v>
      </x:c>
      <x:c r="N55" s="31" t="n">
        <x:f>SUMIF('Posting Splits'!$B$2:$B$147,A55,'Posting Splits'!$D$2:$D$147)</x:f>
        <x:v>-19700</x:v>
      </x:c>
      <x:c r="O55" s="30" t="str">
        <x:f>IF(G55="POSTED",IF(E55=N55,"OK","FAIL"),"N/A")</x:f>
        <x:v>OK</x:v>
      </x:c>
    </x:row>
    <x:row r="56">
      <x:c r="A56" s="30" t="str">
        <x:v>txn-0055</x:v>
      </x:c>
      <x:c r="B56" s="30" t="str">
        <x:v>fin-marketplace</x:v>
      </x:c>
      <x:c r="C56" s="32" t="n">
        <x:v>45869</x:v>
      </x:c>
      <x:c r="D56" s="34" t="n">
        <x:v>-11582.6</x:v>
      </x:c>
      <x:c r="E56" s="31" t="n">
        <x:v>-1158260</x:v>
      </x:c>
      <x:c r="F56" s="30" t="str">
        <x:v>Marketplace payout 2025-07</x:v>
      </x:c>
      <x:c r="G56" s="30" t="str">
        <x:v>MATCHED_TRANSFER</x:v>
      </x:c>
      <x:c r="H56" s="30" t="str">
        <x:v>TRANSFER</x:v>
      </x:c>
      <x:c r="I56" s="30" t="str">
        <x:v>transfer-0007</x:v>
      </x:c>
      <x:c r="J56" s="30" t="str">
        <x:v>imports/2025/marketplace-transfers.csv</x:v>
      </x:c>
      <x:c r="K56" s="30" t="str"/>
      <x:c r="L56" s="32" t="n">
        <x:v>46254.5</x:v>
      </x:c>
      <x:c r="M56" s="32" t="n">
        <x:v>46254.5</x:v>
      </x:c>
      <x:c r="N56" s="31" t="n">
        <x:f>SUMIF('Posting Splits'!$B$2:$B$147,A56,'Posting Splits'!$D$2:$D$147)</x:f>
        <x:v>0</x:v>
      </x:c>
      <x:c r="O56" s="30" t="str">
        <x:f>IF(G56="POSTED",IF(E56=N56,"OK","FAIL"),"N/A")</x:f>
        <x:v>N/A</x:v>
      </x:c>
    </x:row>
    <x:row r="57">
      <x:c r="A57" s="30" t="str">
        <x:v>txn-0056</x:v>
      </x:c>
      <x:c r="B57" s="30" t="str">
        <x:v>fin-bank-operating</x:v>
      </x:c>
      <x:c r="C57" s="32" t="n">
        <x:v>45869</x:v>
      </x:c>
      <x:c r="D57" s="34" t="n">
        <x:v>11582.6</x:v>
      </x:c>
      <x:c r="E57" s="31" t="n">
        <x:v>1158260</x:v>
      </x:c>
      <x:c r="F57" s="30" t="str">
        <x:v>Marketplace deposit 2025-07</x:v>
      </x:c>
      <x:c r="G57" s="30" t="str">
        <x:v>MATCHED_TRANSFER</x:v>
      </x:c>
      <x:c r="H57" s="30" t="str">
        <x:v>TRANSFER</x:v>
      </x:c>
      <x:c r="I57" s="30" t="str">
        <x:v>transfer-0007</x:v>
      </x:c>
      <x:c r="J57" s="30" t="str">
        <x:v>imports/2025/operating-checking.xlsx</x:v>
      </x:c>
      <x:c r="K57" s="30" t="str"/>
      <x:c r="L57" s="32" t="n">
        <x:v>46254.5</x:v>
      </x:c>
      <x:c r="M57" s="32" t="n">
        <x:v>46254.5</x:v>
      </x:c>
      <x:c r="N57" s="31" t="n">
        <x:f>SUMIF('Posting Splits'!$B$2:$B$147,A57,'Posting Splits'!$D$2:$D$147)</x:f>
        <x:v>0</x:v>
      </x:c>
      <x:c r="O57" s="30" t="str">
        <x:f>IF(G57="POSTED",IF(E57=N57,"OK","FAIL"),"N/A")</x:f>
        <x:v>N/A</x:v>
      </x:c>
    </x:row>
    <x:row r="58">
      <x:c r="A58" s="30" t="str">
        <x:v>txn-0057</x:v>
      </x:c>
      <x:c r="B58" s="30" t="str">
        <x:v>fin-marketplace</x:v>
      </x:c>
      <x:c r="C58" s="32" t="n">
        <x:v>45900</x:v>
      </x:c>
      <x:c r="D58" s="34" t="n">
        <x:v>16400</x:v>
      </x:c>
      <x:c r="E58" s="31" t="n">
        <x:v>1640000</x:v>
      </x:c>
      <x:c r="F58" s="30" t="str">
        <x:v>Product Charges</x:v>
      </x:c>
      <x:c r="G58" s="30" t="str">
        <x:v>POSTED</x:v>
      </x:c>
      <x:c r="H58" s="30" t="str">
        <x:v>MANUAL</x:v>
      </x:c>
      <x:c r="I58" s="30" t="str"/>
      <x:c r="J58" s="30" t="str">
        <x:v>imports/2025/marketplace-summary.csv</x:v>
      </x:c>
      <x:c r="K58" s="30" t="str"/>
      <x:c r="L58" s="32" t="n">
        <x:v>46254.5</x:v>
      </x:c>
      <x:c r="M58" s="32" t="n">
        <x:v>46254.5</x:v>
      </x:c>
      <x:c r="N58" s="31" t="n">
        <x:f>SUMIF('Posting Splits'!$B$2:$B$147,A58,'Posting Splits'!$D$2:$D$147)</x:f>
        <x:v>1640000</x:v>
      </x:c>
      <x:c r="O58" s="30" t="str">
        <x:f>IF(G58="POSTED",IF(E58=N58,"OK","FAIL"),"N/A")</x:f>
        <x:v>OK</x:v>
      </x:c>
    </x:row>
    <x:row r="59">
      <x:c r="A59" s="30" t="str">
        <x:v>txn-0058</x:v>
      </x:c>
      <x:c r="B59" s="30" t="str">
        <x:v>fin-marketplace</x:v>
      </x:c>
      <x:c r="C59" s="32" t="n">
        <x:v>45900</x:v>
      </x:c>
      <x:c r="D59" s="34" t="n">
        <x:v>-1066</x:v>
      </x:c>
      <x:c r="E59" s="31" t="n">
        <x:v>-106600</x:v>
      </x:c>
      <x:c r="F59" s="30" t="str">
        <x:v>Refunds</x:v>
      </x:c>
      <x:c r="G59" s="30" t="str">
        <x:v>POSTED</x:v>
      </x:c>
      <x:c r="H59" s="30" t="str">
        <x:v>MANUAL</x:v>
      </x:c>
      <x:c r="I59" s="30" t="str"/>
      <x:c r="J59" s="30" t="str">
        <x:v>imports/2025/marketplace-summary.csv</x:v>
      </x:c>
      <x:c r="K59" s="30" t="str"/>
      <x:c r="L59" s="32" t="n">
        <x:v>46254.5</x:v>
      </x:c>
      <x:c r="M59" s="32" t="n">
        <x:v>46254.5</x:v>
      </x:c>
      <x:c r="N59" s="31" t="n">
        <x:f>SUMIF('Posting Splits'!$B$2:$B$147,A59,'Posting Splits'!$D$2:$D$147)</x:f>
        <x:v>-106600</x:v>
      </x:c>
      <x:c r="O59" s="30" t="str">
        <x:f>IF(G59="POSTED",IF(E59=N59,"OK","FAIL"),"N/A")</x:f>
        <x:v>OK</x:v>
      </x:c>
    </x:row>
    <x:row r="60">
      <x:c r="A60" s="30" t="str">
        <x:v>txn-0059</x:v>
      </x:c>
      <x:c r="B60" s="30" t="str">
        <x:v>fin-marketplace</x:v>
      </x:c>
      <x:c r="C60" s="32" t="n">
        <x:v>45900</x:v>
      </x:c>
      <x:c r="D60" s="34" t="n">
        <x:v>180.4</x:v>
      </x:c>
      <x:c r="E60" s="31" t="n">
        <x:v>18040</x:v>
      </x:c>
      <x:c r="F60" s="30" t="str">
        <x:v>ShippingCharge</x:v>
      </x:c>
      <x:c r="G60" s="30" t="str">
        <x:v>POSTED</x:v>
      </x:c>
      <x:c r="H60" s="30" t="str">
        <x:v>MANUAL</x:v>
      </x:c>
      <x:c r="I60" s="30" t="str"/>
      <x:c r="J60" s="30" t="str">
        <x:v>imports/2025/marketplace-summary.csv</x:v>
      </x:c>
      <x:c r="K60" s="30" t="str"/>
      <x:c r="L60" s="32" t="n">
        <x:v>46254.5</x:v>
      </x:c>
      <x:c r="M60" s="32" t="n">
        <x:v>46254.5</x:v>
      </x:c>
      <x:c r="N60" s="31" t="n">
        <x:f>SUMIF('Posting Splits'!$B$2:$B$147,A60,'Posting Splits'!$D$2:$D$147)</x:f>
        <x:v>18040</x:v>
      </x:c>
      <x:c r="O60" s="30" t="str">
        <x:f>IF(G60="POSTED",IF(E60=N60,"OK","FAIL"),"N/A")</x:f>
        <x:v>OK</x:v>
      </x:c>
    </x:row>
    <x:row r="61">
      <x:c r="A61" s="30" t="str">
        <x:v>txn-0060</x:v>
      </x:c>
      <x:c r="B61" s="30" t="str">
        <x:v>fin-marketplace</x:v>
      </x:c>
      <x:c r="C61" s="32" t="n">
        <x:v>45900</x:v>
      </x:c>
      <x:c r="D61" s="34" t="n">
        <x:v>-2460</x:v>
      </x:c>
      <x:c r="E61" s="31" t="n">
        <x:v>-246000</x:v>
      </x:c>
      <x:c r="F61" s="30" t="str">
        <x:v>Commission</x:v>
      </x:c>
      <x:c r="G61" s="30" t="str">
        <x:v>POSTED</x:v>
      </x:c>
      <x:c r="H61" s="30" t="str">
        <x:v>MANUAL</x:v>
      </x:c>
      <x:c r="I61" s="30" t="str"/>
      <x:c r="J61" s="30" t="str">
        <x:v>imports/2025/marketplace-summary.csv</x:v>
      </x:c>
      <x:c r="K61" s="30" t="str"/>
      <x:c r="L61" s="32" t="n">
        <x:v>46254.5</x:v>
      </x:c>
      <x:c r="M61" s="32" t="n">
        <x:v>46254.5</x:v>
      </x:c>
      <x:c r="N61" s="31" t="n">
        <x:f>SUMIF('Posting Splits'!$B$2:$B$147,A61,'Posting Splits'!$D$2:$D$147)</x:f>
        <x:v>-246000</x:v>
      </x:c>
      <x:c r="O61" s="30" t="str">
        <x:f>IF(G61="POSTED",IF(E61=N61,"OK","FAIL"),"N/A")</x:f>
        <x:v>OK</x:v>
      </x:c>
    </x:row>
    <x:row r="62">
      <x:c r="A62" s="30" t="str">
        <x:v>txn-0061</x:v>
      </x:c>
      <x:c r="B62" s="30" t="str">
        <x:v>fin-marketplace</x:v>
      </x:c>
      <x:c r="C62" s="32" t="n">
        <x:v>45900</x:v>
      </x:c>
      <x:c r="D62" s="34" t="n">
        <x:v>-3444</x:v>
      </x:c>
      <x:c r="E62" s="31" t="n">
        <x:v>-344400</x:v>
      </x:c>
      <x:c r="F62" s="30" t="str">
        <x:v>FBAPerUnitFulfillmentFee</x:v>
      </x:c>
      <x:c r="G62" s="30" t="str">
        <x:v>POSTED</x:v>
      </x:c>
      <x:c r="H62" s="30" t="str">
        <x:v>MANUAL</x:v>
      </x:c>
      <x:c r="I62" s="30" t="str"/>
      <x:c r="J62" s="30" t="str">
        <x:v>imports/2025/marketplace-summary.csv</x:v>
      </x:c>
      <x:c r="K62" s="30" t="str"/>
      <x:c r="L62" s="32" t="n">
        <x:v>46254.5</x:v>
      </x:c>
      <x:c r="M62" s="32" t="n">
        <x:v>46254.5</x:v>
      </x:c>
      <x:c r="N62" s="31" t="n">
        <x:f>SUMIF('Posting Splits'!$B$2:$B$147,A62,'Posting Splits'!$D$2:$D$147)</x:f>
        <x:v>-344400</x:v>
      </x:c>
      <x:c r="O62" s="30" t="str">
        <x:f>IF(G62="POSTED",IF(E62=N62,"OK","FAIL"),"N/A")</x:f>
        <x:v>OK</x:v>
      </x:c>
    </x:row>
    <x:row r="63">
      <x:c r="A63" s="30" t="str">
        <x:v>txn-0062</x:v>
      </x:c>
      <x:c r="B63" s="30" t="str">
        <x:v>fin-marketplace</x:v>
      </x:c>
      <x:c r="C63" s="32" t="n">
        <x:v>45900</x:v>
      </x:c>
      <x:c r="D63" s="34" t="n">
        <x:v>-208</x:v>
      </x:c>
      <x:c r="E63" s="31" t="n">
        <x:v>-20800</x:v>
      </x:c>
      <x:c r="F63" s="30" t="str">
        <x:v>FBAStorageFee</x:v>
      </x:c>
      <x:c r="G63" s="30" t="str">
        <x:v>POSTED</x:v>
      </x:c>
      <x:c r="H63" s="30" t="str">
        <x:v>MANUAL</x:v>
      </x:c>
      <x:c r="I63" s="30" t="str"/>
      <x:c r="J63" s="30" t="str">
        <x:v>imports/2025/marketplace-summary.csv</x:v>
      </x:c>
      <x:c r="K63" s="30" t="str"/>
      <x:c r="L63" s="32" t="n">
        <x:v>46254.5</x:v>
      </x:c>
      <x:c r="M63" s="32" t="n">
        <x:v>46254.5</x:v>
      </x:c>
      <x:c r="N63" s="31" t="n">
        <x:f>SUMIF('Posting Splits'!$B$2:$B$147,A63,'Posting Splits'!$D$2:$D$147)</x:f>
        <x:v>-20800</x:v>
      </x:c>
      <x:c r="O63" s="30" t="str">
        <x:f>IF(G63="POSTED",IF(E63=N63,"OK","FAIL"),"N/A")</x:f>
        <x:v>OK</x:v>
      </x:c>
    </x:row>
    <x:row r="64">
      <x:c r="A64" s="30" t="str">
        <x:v>txn-0063</x:v>
      </x:c>
      <x:c r="B64" s="30" t="str">
        <x:v>fin-marketplace</x:v>
      </x:c>
      <x:c r="C64" s="32" t="n">
        <x:v>45900</x:v>
      </x:c>
      <x:c r="D64" s="34" t="n">
        <x:v>-9402.4</x:v>
      </x:c>
      <x:c r="E64" s="31" t="n">
        <x:v>-940240</x:v>
      </x:c>
      <x:c r="F64" s="30" t="str">
        <x:v>Marketplace payout 2025-08</x:v>
      </x:c>
      <x:c r="G64" s="30" t="str">
        <x:v>MATCHED_TRANSFER</x:v>
      </x:c>
      <x:c r="H64" s="30" t="str">
        <x:v>TRANSFER</x:v>
      </x:c>
      <x:c r="I64" s="30" t="str">
        <x:v>transfer-0008</x:v>
      </x:c>
      <x:c r="J64" s="30" t="str">
        <x:v>imports/2025/marketplace-transfers.csv</x:v>
      </x:c>
      <x:c r="K64" s="30" t="str"/>
      <x:c r="L64" s="32" t="n">
        <x:v>46254.5</x:v>
      </x:c>
      <x:c r="M64" s="32" t="n">
        <x:v>46254.5</x:v>
      </x:c>
      <x:c r="N64" s="31" t="n">
        <x:f>SUMIF('Posting Splits'!$B$2:$B$147,A64,'Posting Splits'!$D$2:$D$147)</x:f>
        <x:v>0</x:v>
      </x:c>
      <x:c r="O64" s="30" t="str">
        <x:f>IF(G64="POSTED",IF(E64=N64,"OK","FAIL"),"N/A")</x:f>
        <x:v>N/A</x:v>
      </x:c>
    </x:row>
    <x:row r="65">
      <x:c r="A65" s="30" t="str">
        <x:v>txn-0064</x:v>
      </x:c>
      <x:c r="B65" s="30" t="str">
        <x:v>fin-bank-operating</x:v>
      </x:c>
      <x:c r="C65" s="32" t="n">
        <x:v>45900</x:v>
      </x:c>
      <x:c r="D65" s="34" t="n">
        <x:v>9402.4</x:v>
      </x:c>
      <x:c r="E65" s="31" t="n">
        <x:v>940240</x:v>
      </x:c>
      <x:c r="F65" s="30" t="str">
        <x:v>Marketplace deposit 2025-08</x:v>
      </x:c>
      <x:c r="G65" s="30" t="str">
        <x:v>MATCHED_TRANSFER</x:v>
      </x:c>
      <x:c r="H65" s="30" t="str">
        <x:v>TRANSFER</x:v>
      </x:c>
      <x:c r="I65" s="30" t="str">
        <x:v>transfer-0008</x:v>
      </x:c>
      <x:c r="J65" s="30" t="str">
        <x:v>imports/2025/operating-checking.xlsx</x:v>
      </x:c>
      <x:c r="K65" s="30" t="str"/>
      <x:c r="L65" s="32" t="n">
        <x:v>46254.5</x:v>
      </x:c>
      <x:c r="M65" s="32" t="n">
        <x:v>46254.5</x:v>
      </x:c>
      <x:c r="N65" s="31" t="n">
        <x:f>SUMIF('Posting Splits'!$B$2:$B$147,A65,'Posting Splits'!$D$2:$D$147)</x:f>
        <x:v>0</x:v>
      </x:c>
      <x:c r="O65" s="30" t="str">
        <x:f>IF(G65="POSTED",IF(E65=N65,"OK","FAIL"),"N/A")</x:f>
        <x:v>N/A</x:v>
      </x:c>
    </x:row>
    <x:row r="66">
      <x:c r="A66" s="30" t="str">
        <x:v>txn-0065</x:v>
      </x:c>
      <x:c r="B66" s="30" t="str">
        <x:v>fin-marketplace</x:v>
      </x:c>
      <x:c r="C66" s="32" t="n">
        <x:v>45930</x:v>
      </x:c>
      <x:c r="D66" s="34" t="n">
        <x:v>10900</x:v>
      </x:c>
      <x:c r="E66" s="31" t="n">
        <x:v>1090000</x:v>
      </x:c>
      <x:c r="F66" s="30" t="str">
        <x:v>Product Charges</x:v>
      </x:c>
      <x:c r="G66" s="30" t="str">
        <x:v>POSTED</x:v>
      </x:c>
      <x:c r="H66" s="30" t="str">
        <x:v>MANUAL</x:v>
      </x:c>
      <x:c r="I66" s="30" t="str"/>
      <x:c r="J66" s="30" t="str">
        <x:v>imports/2025/marketplace-summary.csv</x:v>
      </x:c>
      <x:c r="K66" s="30" t="str"/>
      <x:c r="L66" s="32" t="n">
        <x:v>46254.5</x:v>
      </x:c>
      <x:c r="M66" s="32" t="n">
        <x:v>46254.5</x:v>
      </x:c>
      <x:c r="N66" s="31" t="n">
        <x:f>SUMIF('Posting Splits'!$B$2:$B$147,A66,'Posting Splits'!$D$2:$D$147)</x:f>
        <x:v>1090000</x:v>
      </x:c>
      <x:c r="O66" s="30" t="str">
        <x:f>IF(G66="POSTED",IF(E66=N66,"OK","FAIL"),"N/A")</x:f>
        <x:v>OK</x:v>
      </x:c>
    </x:row>
    <x:row r="67">
      <x:c r="A67" s="30" t="str">
        <x:v>txn-0066</x:v>
      </x:c>
      <x:c r="B67" s="30" t="str">
        <x:v>fin-marketplace</x:v>
      </x:c>
      <x:c r="C67" s="32" t="n">
        <x:v>45930</x:v>
      </x:c>
      <x:c r="D67" s="34" t="n">
        <x:v>-545</x:v>
      </x:c>
      <x:c r="E67" s="31" t="n">
        <x:v>-54500</x:v>
      </x:c>
      <x:c r="F67" s="30" t="str">
        <x:v>Refunds</x:v>
      </x:c>
      <x:c r="G67" s="30" t="str">
        <x:v>POSTED</x:v>
      </x:c>
      <x:c r="H67" s="30" t="str">
        <x:v>MANUAL</x:v>
      </x:c>
      <x:c r="I67" s="30" t="str"/>
      <x:c r="J67" s="30" t="str">
        <x:v>imports/2025/marketplace-summary.csv</x:v>
      </x:c>
      <x:c r="K67" s="30" t="str"/>
      <x:c r="L67" s="32" t="n">
        <x:v>46254.5</x:v>
      </x:c>
      <x:c r="M67" s="32" t="n">
        <x:v>46254.5</x:v>
      </x:c>
      <x:c r="N67" s="31" t="n">
        <x:f>SUMIF('Posting Splits'!$B$2:$B$147,A67,'Posting Splits'!$D$2:$D$147)</x:f>
        <x:v>-54500</x:v>
      </x:c>
      <x:c r="O67" s="30" t="str">
        <x:f>IF(G67="POSTED",IF(E67=N67,"OK","FAIL"),"N/A")</x:f>
        <x:v>OK</x:v>
      </x:c>
    </x:row>
    <x:row r="68">
      <x:c r="A68" s="30" t="str">
        <x:v>txn-0067</x:v>
      </x:c>
      <x:c r="B68" s="30" t="str">
        <x:v>fin-marketplace</x:v>
      </x:c>
      <x:c r="C68" s="32" t="n">
        <x:v>45930</x:v>
      </x:c>
      <x:c r="D68" s="34" t="n">
        <x:v>119.9</x:v>
      </x:c>
      <x:c r="E68" s="31" t="n">
        <x:v>11990</x:v>
      </x:c>
      <x:c r="F68" s="30" t="str">
        <x:v>ShippingCharge</x:v>
      </x:c>
      <x:c r="G68" s="30" t="str">
        <x:v>POSTED</x:v>
      </x:c>
      <x:c r="H68" s="30" t="str">
        <x:v>MANUAL</x:v>
      </x:c>
      <x:c r="I68" s="30" t="str"/>
      <x:c r="J68" s="30" t="str">
        <x:v>imports/2025/marketplace-summary.csv</x:v>
      </x:c>
      <x:c r="K68" s="30" t="str"/>
      <x:c r="L68" s="32" t="n">
        <x:v>46254.5</x:v>
      </x:c>
      <x:c r="M68" s="32" t="n">
        <x:v>46254.5</x:v>
      </x:c>
      <x:c r="N68" s="31" t="n">
        <x:f>SUMIF('Posting Splits'!$B$2:$B$147,A68,'Posting Splits'!$D$2:$D$147)</x:f>
        <x:v>11990</x:v>
      </x:c>
      <x:c r="O68" s="30" t="str">
        <x:f>IF(G68="POSTED",IF(E68=N68,"OK","FAIL"),"N/A")</x:f>
        <x:v>OK</x:v>
      </x:c>
    </x:row>
    <x:row r="69">
      <x:c r="A69" s="30" t="str">
        <x:v>txn-0068</x:v>
      </x:c>
      <x:c r="B69" s="30" t="str">
        <x:v>fin-marketplace</x:v>
      </x:c>
      <x:c r="C69" s="32" t="n">
        <x:v>45930</x:v>
      </x:c>
      <x:c r="D69" s="34" t="n">
        <x:v>-1635</x:v>
      </x:c>
      <x:c r="E69" s="31" t="n">
        <x:v>-163500</x:v>
      </x:c>
      <x:c r="F69" s="30" t="str">
        <x:v>Commission</x:v>
      </x:c>
      <x:c r="G69" s="30" t="str">
        <x:v>POSTED</x:v>
      </x:c>
      <x:c r="H69" s="30" t="str">
        <x:v>MANUAL</x:v>
      </x:c>
      <x:c r="I69" s="30" t="str"/>
      <x:c r="J69" s="30" t="str">
        <x:v>imports/2025/marketplace-summary.csv</x:v>
      </x:c>
      <x:c r="K69" s="30" t="str"/>
      <x:c r="L69" s="32" t="n">
        <x:v>46254.5</x:v>
      </x:c>
      <x:c r="M69" s="32" t="n">
        <x:v>46254.5</x:v>
      </x:c>
      <x:c r="N69" s="31" t="n">
        <x:f>SUMIF('Posting Splits'!$B$2:$B$147,A69,'Posting Splits'!$D$2:$D$147)</x:f>
        <x:v>-163500</x:v>
      </x:c>
      <x:c r="O69" s="30" t="str">
        <x:f>IF(G69="POSTED",IF(E69=N69,"OK","FAIL"),"N/A")</x:f>
        <x:v>OK</x:v>
      </x:c>
    </x:row>
    <x:row r="70">
      <x:c r="A70" s="30" t="str">
        <x:v>txn-0069</x:v>
      </x:c>
      <x:c r="B70" s="30" t="str">
        <x:v>fin-marketplace</x:v>
      </x:c>
      <x:c r="C70" s="32" t="n">
        <x:v>45930</x:v>
      </x:c>
      <x:c r="D70" s="34" t="n">
        <x:v>-2452.5</x:v>
      </x:c>
      <x:c r="E70" s="31" t="n">
        <x:v>-245250</x:v>
      </x:c>
      <x:c r="F70" s="30" t="str">
        <x:v>FBAPerUnitFulfillmentFee</x:v>
      </x:c>
      <x:c r="G70" s="30" t="str">
        <x:v>POSTED</x:v>
      </x:c>
      <x:c r="H70" s="30" t="str">
        <x:v>MANUAL</x:v>
      </x:c>
      <x:c r="I70" s="30" t="str"/>
      <x:c r="J70" s="30" t="str">
        <x:v>imports/2025/marketplace-summary.csv</x:v>
      </x:c>
      <x:c r="K70" s="30" t="str"/>
      <x:c r="L70" s="32" t="n">
        <x:v>46254.5</x:v>
      </x:c>
      <x:c r="M70" s="32" t="n">
        <x:v>46254.5</x:v>
      </x:c>
      <x:c r="N70" s="31" t="n">
        <x:f>SUMIF('Posting Splits'!$B$2:$B$147,A70,'Posting Splits'!$D$2:$D$147)</x:f>
        <x:v>-245250</x:v>
      </x:c>
      <x:c r="O70" s="30" t="str">
        <x:f>IF(G70="POSTED",IF(E70=N70,"OK","FAIL"),"N/A")</x:f>
        <x:v>OK</x:v>
      </x:c>
    </x:row>
    <x:row r="71">
      <x:c r="A71" s="30" t="str">
        <x:v>txn-0070</x:v>
      </x:c>
      <x:c r="B71" s="30" t="str">
        <x:v>fin-marketplace</x:v>
      </x:c>
      <x:c r="C71" s="32" t="n">
        <x:v>45930</x:v>
      </x:c>
      <x:c r="D71" s="34" t="n">
        <x:v>-219</x:v>
      </x:c>
      <x:c r="E71" s="31" t="n">
        <x:v>-21900</x:v>
      </x:c>
      <x:c r="F71" s="30" t="str">
        <x:v>FBAStorageFee</x:v>
      </x:c>
      <x:c r="G71" s="30" t="str">
        <x:v>POSTED</x:v>
      </x:c>
      <x:c r="H71" s="30" t="str">
        <x:v>MANUAL</x:v>
      </x:c>
      <x:c r="I71" s="30" t="str"/>
      <x:c r="J71" s="30" t="str">
        <x:v>imports/2025/marketplace-summary.csv</x:v>
      </x:c>
      <x:c r="K71" s="30" t="str"/>
      <x:c r="L71" s="32" t="n">
        <x:v>46254.5</x:v>
      </x:c>
      <x:c r="M71" s="32" t="n">
        <x:v>46254.5</x:v>
      </x:c>
      <x:c r="N71" s="31" t="n">
        <x:f>SUMIF('Posting Splits'!$B$2:$B$147,A71,'Posting Splits'!$D$2:$D$147)</x:f>
        <x:v>-21900</x:v>
      </x:c>
      <x:c r="O71" s="30" t="str">
        <x:f>IF(G71="POSTED",IF(E71=N71,"OK","FAIL"),"N/A")</x:f>
        <x:v>OK</x:v>
      </x:c>
    </x:row>
    <x:row r="72">
      <x:c r="A72" s="30" t="str">
        <x:v>txn-0071</x:v>
      </x:c>
      <x:c r="B72" s="30" t="str">
        <x:v>fin-marketplace</x:v>
      </x:c>
      <x:c r="C72" s="32" t="n">
        <x:v>45930</x:v>
      </x:c>
      <x:c r="D72" s="34" t="n">
        <x:v>-6168.4</x:v>
      </x:c>
      <x:c r="E72" s="31" t="n">
        <x:v>-616840</x:v>
      </x:c>
      <x:c r="F72" s="30" t="str">
        <x:v>Marketplace payout 2025-09</x:v>
      </x:c>
      <x:c r="G72" s="30" t="str">
        <x:v>MATCHED_TRANSFER</x:v>
      </x:c>
      <x:c r="H72" s="30" t="str">
        <x:v>TRANSFER</x:v>
      </x:c>
      <x:c r="I72" s="30" t="str">
        <x:v>transfer-0009</x:v>
      </x:c>
      <x:c r="J72" s="30" t="str">
        <x:v>imports/2025/marketplace-transfers.csv</x:v>
      </x:c>
      <x:c r="K72" s="30" t="str"/>
      <x:c r="L72" s="32" t="n">
        <x:v>46254.5</x:v>
      </x:c>
      <x:c r="M72" s="32" t="n">
        <x:v>46254.5</x:v>
      </x:c>
      <x:c r="N72" s="31" t="n">
        <x:f>SUMIF('Posting Splits'!$B$2:$B$147,A72,'Posting Splits'!$D$2:$D$147)</x:f>
        <x:v>0</x:v>
      </x:c>
      <x:c r="O72" s="30" t="str">
        <x:f>IF(G72="POSTED",IF(E72=N72,"OK","FAIL"),"N/A")</x:f>
        <x:v>N/A</x:v>
      </x:c>
    </x:row>
    <x:row r="73">
      <x:c r="A73" s="30" t="str">
        <x:v>txn-0072</x:v>
      </x:c>
      <x:c r="B73" s="30" t="str">
        <x:v>fin-bank-operating</x:v>
      </x:c>
      <x:c r="C73" s="32" t="n">
        <x:v>45930</x:v>
      </x:c>
      <x:c r="D73" s="34" t="n">
        <x:v>6168.4</x:v>
      </x:c>
      <x:c r="E73" s="31" t="n">
        <x:v>616840</x:v>
      </x:c>
      <x:c r="F73" s="30" t="str">
        <x:v>Marketplace deposit 2025-09</x:v>
      </x:c>
      <x:c r="G73" s="30" t="str">
        <x:v>MATCHED_TRANSFER</x:v>
      </x:c>
      <x:c r="H73" s="30" t="str">
        <x:v>TRANSFER</x:v>
      </x:c>
      <x:c r="I73" s="30" t="str">
        <x:v>transfer-0009</x:v>
      </x:c>
      <x:c r="J73" s="30" t="str">
        <x:v>imports/2025/operating-checking.xlsx</x:v>
      </x:c>
      <x:c r="K73" s="30" t="str"/>
      <x:c r="L73" s="32" t="n">
        <x:v>46254.5</x:v>
      </x:c>
      <x:c r="M73" s="32" t="n">
        <x:v>46254.5</x:v>
      </x:c>
      <x:c r="N73" s="31" t="n">
        <x:f>SUMIF('Posting Splits'!$B$2:$B$147,A73,'Posting Splits'!$D$2:$D$147)</x:f>
        <x:v>0</x:v>
      </x:c>
      <x:c r="O73" s="30" t="str">
        <x:f>IF(G73="POSTED",IF(E73=N73,"OK","FAIL"),"N/A")</x:f>
        <x:v>N/A</x:v>
      </x:c>
    </x:row>
    <x:row r="74">
      <x:c r="A74" s="30" t="str">
        <x:v>txn-0073</x:v>
      </x:c>
      <x:c r="B74" s="30" t="str">
        <x:v>fin-marketplace</x:v>
      </x:c>
      <x:c r="C74" s="32" t="n">
        <x:v>45961</x:v>
      </x:c>
      <x:c r="D74" s="34" t="n">
        <x:v>12100</x:v>
      </x:c>
      <x:c r="E74" s="31" t="n">
        <x:v>1210000</x:v>
      </x:c>
      <x:c r="F74" s="30" t="str">
        <x:v>Product Charges</x:v>
      </x:c>
      <x:c r="G74" s="30" t="str">
        <x:v>POSTED</x:v>
      </x:c>
      <x:c r="H74" s="30" t="str">
        <x:v>MANUAL</x:v>
      </x:c>
      <x:c r="I74" s="30" t="str"/>
      <x:c r="J74" s="30" t="str">
        <x:v>imports/2025/marketplace-summary.csv</x:v>
      </x:c>
      <x:c r="K74" s="30" t="str"/>
      <x:c r="L74" s="32" t="n">
        <x:v>46254.5</x:v>
      </x:c>
      <x:c r="M74" s="32" t="n">
        <x:v>46254.5</x:v>
      </x:c>
      <x:c r="N74" s="31" t="n">
        <x:f>SUMIF('Posting Splits'!$B$2:$B$147,A74,'Posting Splits'!$D$2:$D$147)</x:f>
        <x:v>1210000</x:v>
      </x:c>
      <x:c r="O74" s="30" t="str">
        <x:f>IF(G74="POSTED",IF(E74=N74,"OK","FAIL"),"N/A")</x:f>
        <x:v>OK</x:v>
      </x:c>
    </x:row>
    <x:row r="75">
      <x:c r="A75" s="30" t="str">
        <x:v>txn-0074</x:v>
      </x:c>
      <x:c r="B75" s="30" t="str">
        <x:v>fin-marketplace</x:v>
      </x:c>
      <x:c r="C75" s="32" t="n">
        <x:v>45961</x:v>
      </x:c>
      <x:c r="D75" s="34" t="n">
        <x:v>-605</x:v>
      </x:c>
      <x:c r="E75" s="31" t="n">
        <x:v>-60500</x:v>
      </x:c>
      <x:c r="F75" s="30" t="str">
        <x:v>Refunds</x:v>
      </x:c>
      <x:c r="G75" s="30" t="str">
        <x:v>POSTED</x:v>
      </x:c>
      <x:c r="H75" s="30" t="str">
        <x:v>MANUAL</x:v>
      </x:c>
      <x:c r="I75" s="30" t="str"/>
      <x:c r="J75" s="30" t="str">
        <x:v>imports/2025/marketplace-summary.csv</x:v>
      </x:c>
      <x:c r="K75" s="30" t="str"/>
      <x:c r="L75" s="32" t="n">
        <x:v>46254.5</x:v>
      </x:c>
      <x:c r="M75" s="32" t="n">
        <x:v>46254.5</x:v>
      </x:c>
      <x:c r="N75" s="31" t="n">
        <x:f>SUMIF('Posting Splits'!$B$2:$B$147,A75,'Posting Splits'!$D$2:$D$147)</x:f>
        <x:v>-60500</x:v>
      </x:c>
      <x:c r="O75" s="30" t="str">
        <x:f>IF(G75="POSTED",IF(E75=N75,"OK","FAIL"),"N/A")</x:f>
        <x:v>OK</x:v>
      </x:c>
    </x:row>
    <x:row r="76">
      <x:c r="A76" s="30" t="str">
        <x:v>txn-0075</x:v>
      </x:c>
      <x:c r="B76" s="30" t="str">
        <x:v>fin-marketplace</x:v>
      </x:c>
      <x:c r="C76" s="32" t="n">
        <x:v>45961</x:v>
      </x:c>
      <x:c r="D76" s="34" t="n">
        <x:v>133.1</x:v>
      </x:c>
      <x:c r="E76" s="31" t="n">
        <x:v>13310</x:v>
      </x:c>
      <x:c r="F76" s="30" t="str">
        <x:v>ShippingCharge</x:v>
      </x:c>
      <x:c r="G76" s="30" t="str">
        <x:v>POSTED</x:v>
      </x:c>
      <x:c r="H76" s="30" t="str">
        <x:v>MANUAL</x:v>
      </x:c>
      <x:c r="I76" s="30" t="str"/>
      <x:c r="J76" s="30" t="str">
        <x:v>imports/2025/marketplace-summary.csv</x:v>
      </x:c>
      <x:c r="K76" s="30" t="str"/>
      <x:c r="L76" s="32" t="n">
        <x:v>46254.5</x:v>
      </x:c>
      <x:c r="M76" s="32" t="n">
        <x:v>46254.5</x:v>
      </x:c>
      <x:c r="N76" s="31" t="n">
        <x:f>SUMIF('Posting Splits'!$B$2:$B$147,A76,'Posting Splits'!$D$2:$D$147)</x:f>
        <x:v>13310</x:v>
      </x:c>
      <x:c r="O76" s="30" t="str">
        <x:f>IF(G76="POSTED",IF(E76=N76,"OK","FAIL"),"N/A")</x:f>
        <x:v>OK</x:v>
      </x:c>
    </x:row>
    <x:row r="77">
      <x:c r="A77" s="30" t="str">
        <x:v>txn-0076</x:v>
      </x:c>
      <x:c r="B77" s="30" t="str">
        <x:v>fin-marketplace</x:v>
      </x:c>
      <x:c r="C77" s="32" t="n">
        <x:v>45961</x:v>
      </x:c>
      <x:c r="D77" s="34" t="n">
        <x:v>-1815</x:v>
      </x:c>
      <x:c r="E77" s="31" t="n">
        <x:v>-181500</x:v>
      </x:c>
      <x:c r="F77" s="30" t="str">
        <x:v>Commission</x:v>
      </x:c>
      <x:c r="G77" s="30" t="str">
        <x:v>POSTED</x:v>
      </x:c>
      <x:c r="H77" s="30" t="str">
        <x:v>MANUAL</x:v>
      </x:c>
      <x:c r="I77" s="30" t="str"/>
      <x:c r="J77" s="30" t="str">
        <x:v>imports/2025/marketplace-summary.csv</x:v>
      </x:c>
      <x:c r="K77" s="30" t="str"/>
      <x:c r="L77" s="32" t="n">
        <x:v>46254.5</x:v>
      </x:c>
      <x:c r="M77" s="32" t="n">
        <x:v>46254.5</x:v>
      </x:c>
      <x:c r="N77" s="31" t="n">
        <x:f>SUMIF('Posting Splits'!$B$2:$B$147,A77,'Posting Splits'!$D$2:$D$147)</x:f>
        <x:v>-181500</x:v>
      </x:c>
      <x:c r="O77" s="30" t="str">
        <x:f>IF(G77="POSTED",IF(E77=N77,"OK","FAIL"),"N/A")</x:f>
        <x:v>OK</x:v>
      </x:c>
    </x:row>
    <x:row r="78">
      <x:c r="A78" s="30" t="str">
        <x:v>txn-0077</x:v>
      </x:c>
      <x:c r="B78" s="30" t="str">
        <x:v>fin-marketplace</x:v>
      </x:c>
      <x:c r="C78" s="32" t="n">
        <x:v>45961</x:v>
      </x:c>
      <x:c r="D78" s="34" t="n">
        <x:v>-2541</x:v>
      </x:c>
      <x:c r="E78" s="31" t="n">
        <x:v>-254100</x:v>
      </x:c>
      <x:c r="F78" s="30" t="str">
        <x:v>FBAPerUnitFulfillmentFee</x:v>
      </x:c>
      <x:c r="G78" s="30" t="str">
        <x:v>POSTED</x:v>
      </x:c>
      <x:c r="H78" s="30" t="str">
        <x:v>MANUAL</x:v>
      </x:c>
      <x:c r="I78" s="30" t="str"/>
      <x:c r="J78" s="30" t="str">
        <x:v>imports/2025/marketplace-summary.csv</x:v>
      </x:c>
      <x:c r="K78" s="30" t="str"/>
      <x:c r="L78" s="32" t="n">
        <x:v>46254.5</x:v>
      </x:c>
      <x:c r="M78" s="32" t="n">
        <x:v>46254.5</x:v>
      </x:c>
      <x:c r="N78" s="31" t="n">
        <x:f>SUMIF('Posting Splits'!$B$2:$B$147,A78,'Posting Splits'!$D$2:$D$147)</x:f>
        <x:v>-254100</x:v>
      </x:c>
      <x:c r="O78" s="30" t="str">
        <x:f>IF(G78="POSTED",IF(E78=N78,"OK","FAIL"),"N/A")</x:f>
        <x:v>OK</x:v>
      </x:c>
    </x:row>
    <x:row r="79">
      <x:c r="A79" s="30" t="str">
        <x:v>txn-0078</x:v>
      </x:c>
      <x:c r="B79" s="30" t="str">
        <x:v>fin-marketplace</x:v>
      </x:c>
      <x:c r="C79" s="32" t="n">
        <x:v>45961</x:v>
      </x:c>
      <x:c r="D79" s="34" t="n">
        <x:v>-285</x:v>
      </x:c>
      <x:c r="E79" s="31" t="n">
        <x:v>-28500</x:v>
      </x:c>
      <x:c r="F79" s="30" t="str">
        <x:v>FBAStorageFee</x:v>
      </x:c>
      <x:c r="G79" s="30" t="str">
        <x:v>POSTED</x:v>
      </x:c>
      <x:c r="H79" s="30" t="str">
        <x:v>MANUAL</x:v>
      </x:c>
      <x:c r="I79" s="30" t="str"/>
      <x:c r="J79" s="30" t="str">
        <x:v>imports/2025/marketplace-summary.csv</x:v>
      </x:c>
      <x:c r="K79" s="30" t="str"/>
      <x:c r="L79" s="32" t="n">
        <x:v>46254.5</x:v>
      </x:c>
      <x:c r="M79" s="32" t="n">
        <x:v>46254.5</x:v>
      </x:c>
      <x:c r="N79" s="31" t="n">
        <x:f>SUMIF('Posting Splits'!$B$2:$B$147,A79,'Posting Splits'!$D$2:$D$147)</x:f>
        <x:v>-28500</x:v>
      </x:c>
      <x:c r="O79" s="30" t="str">
        <x:f>IF(G79="POSTED",IF(E79=N79,"OK","FAIL"),"N/A")</x:f>
        <x:v>OK</x:v>
      </x:c>
    </x:row>
    <x:row r="80">
      <x:c r="A80" s="30" t="str">
        <x:v>txn-0079</x:v>
      </x:c>
      <x:c r="B80" s="30" t="str">
        <x:v>fin-marketplace</x:v>
      </x:c>
      <x:c r="C80" s="32" t="n">
        <x:v>45961</x:v>
      </x:c>
      <x:c r="D80" s="34" t="n">
        <x:v>-6987.1</x:v>
      </x:c>
      <x:c r="E80" s="31" t="n">
        <x:v>-698710</x:v>
      </x:c>
      <x:c r="F80" s="30" t="str">
        <x:v>Marketplace payout 2025-10</x:v>
      </x:c>
      <x:c r="G80" s="30" t="str">
        <x:v>MATCHED_TRANSFER</x:v>
      </x:c>
      <x:c r="H80" s="30" t="str">
        <x:v>TRANSFER</x:v>
      </x:c>
      <x:c r="I80" s="30" t="str">
        <x:v>transfer-0010</x:v>
      </x:c>
      <x:c r="J80" s="30" t="str">
        <x:v>imports/2025/marketplace-transfers.csv</x:v>
      </x:c>
      <x:c r="K80" s="30" t="str"/>
      <x:c r="L80" s="32" t="n">
        <x:v>46254.5</x:v>
      </x:c>
      <x:c r="M80" s="32" t="n">
        <x:v>46254.5</x:v>
      </x:c>
      <x:c r="N80" s="31" t="n">
        <x:f>SUMIF('Posting Splits'!$B$2:$B$147,A80,'Posting Splits'!$D$2:$D$147)</x:f>
        <x:v>0</x:v>
      </x:c>
      <x:c r="O80" s="30" t="str">
        <x:f>IF(G80="POSTED",IF(E80=N80,"OK","FAIL"),"N/A")</x:f>
        <x:v>N/A</x:v>
      </x:c>
    </x:row>
    <x:row r="81">
      <x:c r="A81" s="30" t="str">
        <x:v>txn-0080</x:v>
      </x:c>
      <x:c r="B81" s="30" t="str">
        <x:v>fin-bank-operating</x:v>
      </x:c>
      <x:c r="C81" s="32" t="n">
        <x:v>45961</x:v>
      </x:c>
      <x:c r="D81" s="34" t="n">
        <x:v>6987.1</x:v>
      </x:c>
      <x:c r="E81" s="31" t="n">
        <x:v>698710</x:v>
      </x:c>
      <x:c r="F81" s="30" t="str">
        <x:v>Marketplace deposit 2025-10</x:v>
      </x:c>
      <x:c r="G81" s="30" t="str">
        <x:v>MATCHED_TRANSFER</x:v>
      </x:c>
      <x:c r="H81" s="30" t="str">
        <x:v>TRANSFER</x:v>
      </x:c>
      <x:c r="I81" s="30" t="str">
        <x:v>transfer-0010</x:v>
      </x:c>
      <x:c r="J81" s="30" t="str">
        <x:v>imports/2025/operating-checking.xlsx</x:v>
      </x:c>
      <x:c r="K81" s="30" t="str"/>
      <x:c r="L81" s="32" t="n">
        <x:v>46254.5</x:v>
      </x:c>
      <x:c r="M81" s="32" t="n">
        <x:v>46254.5</x:v>
      </x:c>
      <x:c r="N81" s="31" t="n">
        <x:f>SUMIF('Posting Splits'!$B$2:$B$147,A81,'Posting Splits'!$D$2:$D$147)</x:f>
        <x:v>0</x:v>
      </x:c>
      <x:c r="O81" s="30" t="str">
        <x:f>IF(G81="POSTED",IF(E81=N81,"OK","FAIL"),"N/A")</x:f>
        <x:v>N/A</x:v>
      </x:c>
    </x:row>
    <x:row r="82">
      <x:c r="A82" s="30" t="str">
        <x:v>txn-0081</x:v>
      </x:c>
      <x:c r="B82" s="30" t="str">
        <x:v>fin-marketplace</x:v>
      </x:c>
      <x:c r="C82" s="32" t="n">
        <x:v>45991</x:v>
      </x:c>
      <x:c r="D82" s="34" t="n">
        <x:v>8800</x:v>
      </x:c>
      <x:c r="E82" s="31" t="n">
        <x:v>880000</x:v>
      </x:c>
      <x:c r="F82" s="30" t="str">
        <x:v>Product Charges</x:v>
      </x:c>
      <x:c r="G82" s="30" t="str">
        <x:v>POSTED</x:v>
      </x:c>
      <x:c r="H82" s="30" t="str">
        <x:v>MANUAL</x:v>
      </x:c>
      <x:c r="I82" s="30" t="str"/>
      <x:c r="J82" s="30" t="str">
        <x:v>imports/2025/marketplace-summary.csv</x:v>
      </x:c>
      <x:c r="K82" s="30" t="str"/>
      <x:c r="L82" s="32" t="n">
        <x:v>46254.5</x:v>
      </x:c>
      <x:c r="M82" s="32" t="n">
        <x:v>46254.5</x:v>
      </x:c>
      <x:c r="N82" s="31" t="n">
        <x:f>SUMIF('Posting Splits'!$B$2:$B$147,A82,'Posting Splits'!$D$2:$D$147)</x:f>
        <x:v>880000</x:v>
      </x:c>
      <x:c r="O82" s="30" t="str">
        <x:f>IF(G82="POSTED",IF(E82=N82,"OK","FAIL"),"N/A")</x:f>
        <x:v>OK</x:v>
      </x:c>
    </x:row>
    <x:row r="83">
      <x:c r="A83" s="30" t="str">
        <x:v>txn-0082</x:v>
      </x:c>
      <x:c r="B83" s="30" t="str">
        <x:v>fin-marketplace</x:v>
      </x:c>
      <x:c r="C83" s="32" t="n">
        <x:v>45991</x:v>
      </x:c>
      <x:c r="D83" s="34" t="n">
        <x:v>-440</x:v>
      </x:c>
      <x:c r="E83" s="31" t="n">
        <x:v>-44000</x:v>
      </x:c>
      <x:c r="F83" s="30" t="str">
        <x:v>Refunds</x:v>
      </x:c>
      <x:c r="G83" s="30" t="str">
        <x:v>POSTED</x:v>
      </x:c>
      <x:c r="H83" s="30" t="str">
        <x:v>MANUAL</x:v>
      </x:c>
      <x:c r="I83" s="30" t="str"/>
      <x:c r="J83" s="30" t="str">
        <x:v>imports/2025/marketplace-summary.csv</x:v>
      </x:c>
      <x:c r="K83" s="30" t="str"/>
      <x:c r="L83" s="32" t="n">
        <x:v>46254.5</x:v>
      </x:c>
      <x:c r="M83" s="32" t="n">
        <x:v>46254.5</x:v>
      </x:c>
      <x:c r="N83" s="31" t="n">
        <x:f>SUMIF('Posting Splits'!$B$2:$B$147,A83,'Posting Splits'!$D$2:$D$147)</x:f>
        <x:v>-44000</x:v>
      </x:c>
      <x:c r="O83" s="30" t="str">
        <x:f>IF(G83="POSTED",IF(E83=N83,"OK","FAIL"),"N/A")</x:f>
        <x:v>OK</x:v>
      </x:c>
    </x:row>
    <x:row r="84">
      <x:c r="A84" s="30" t="str">
        <x:v>txn-0083</x:v>
      </x:c>
      <x:c r="B84" s="30" t="str">
        <x:v>fin-marketplace</x:v>
      </x:c>
      <x:c r="C84" s="32" t="n">
        <x:v>45991</x:v>
      </x:c>
      <x:c r="D84" s="34" t="n">
        <x:v>96.8</x:v>
      </x:c>
      <x:c r="E84" s="31" t="n">
        <x:v>9680</x:v>
      </x:c>
      <x:c r="F84" s="30" t="str">
        <x:v>ShippingCharge</x:v>
      </x:c>
      <x:c r="G84" s="30" t="str">
        <x:v>POSTED</x:v>
      </x:c>
      <x:c r="H84" s="30" t="str">
        <x:v>MANUAL</x:v>
      </x:c>
      <x:c r="I84" s="30" t="str"/>
      <x:c r="J84" s="30" t="str">
        <x:v>imports/2025/marketplace-summary.csv</x:v>
      </x:c>
      <x:c r="K84" s="30" t="str"/>
      <x:c r="L84" s="32" t="n">
        <x:v>46254.5</x:v>
      </x:c>
      <x:c r="M84" s="32" t="n">
        <x:v>46254.5</x:v>
      </x:c>
      <x:c r="N84" s="31" t="n">
        <x:f>SUMIF('Posting Splits'!$B$2:$B$147,A84,'Posting Splits'!$D$2:$D$147)</x:f>
        <x:v>9680</x:v>
      </x:c>
      <x:c r="O84" s="30" t="str">
        <x:f>IF(G84="POSTED",IF(E84=N84,"OK","FAIL"),"N/A")</x:f>
        <x:v>OK</x:v>
      </x:c>
    </x:row>
    <x:row r="85">
      <x:c r="A85" s="30" t="str">
        <x:v>txn-0084</x:v>
      </x:c>
      <x:c r="B85" s="30" t="str">
        <x:v>fin-marketplace</x:v>
      </x:c>
      <x:c r="C85" s="32" t="n">
        <x:v>45991</x:v>
      </x:c>
      <x:c r="D85" s="34" t="n">
        <x:v>-1320</x:v>
      </x:c>
      <x:c r="E85" s="31" t="n">
        <x:v>-132000</x:v>
      </x:c>
      <x:c r="F85" s="30" t="str">
        <x:v>Commission</x:v>
      </x:c>
      <x:c r="G85" s="30" t="str">
        <x:v>POSTED</x:v>
      </x:c>
      <x:c r="H85" s="30" t="str">
        <x:v>MANUAL</x:v>
      </x:c>
      <x:c r="I85" s="30" t="str"/>
      <x:c r="J85" s="30" t="str">
        <x:v>imports/2025/marketplace-summary.csv</x:v>
      </x:c>
      <x:c r="K85" s="30" t="str"/>
      <x:c r="L85" s="32" t="n">
        <x:v>46254.5</x:v>
      </x:c>
      <x:c r="M85" s="32" t="n">
        <x:v>46254.5</x:v>
      </x:c>
      <x:c r="N85" s="31" t="n">
        <x:f>SUMIF('Posting Splits'!$B$2:$B$147,A85,'Posting Splits'!$D$2:$D$147)</x:f>
        <x:v>-132000</x:v>
      </x:c>
      <x:c r="O85" s="30" t="str">
        <x:f>IF(G85="POSTED",IF(E85=N85,"OK","FAIL"),"N/A")</x:f>
        <x:v>OK</x:v>
      </x:c>
    </x:row>
    <x:row r="86">
      <x:c r="A86" s="30" t="str">
        <x:v>txn-0085</x:v>
      </x:c>
      <x:c r="B86" s="30" t="str">
        <x:v>fin-marketplace</x:v>
      </x:c>
      <x:c r="C86" s="32" t="n">
        <x:v>45991</x:v>
      </x:c>
      <x:c r="D86" s="34" t="n">
        <x:v>-1848</x:v>
      </x:c>
      <x:c r="E86" s="31" t="n">
        <x:v>-184800</x:v>
      </x:c>
      <x:c r="F86" s="30" t="str">
        <x:v>FBAPerUnitFulfillmentFee</x:v>
      </x:c>
      <x:c r="G86" s="30" t="str">
        <x:v>POSTED</x:v>
      </x:c>
      <x:c r="H86" s="30" t="str">
        <x:v>MANUAL</x:v>
      </x:c>
      <x:c r="I86" s="30" t="str"/>
      <x:c r="J86" s="30" t="str">
        <x:v>imports/2025/marketplace-summary.csv</x:v>
      </x:c>
      <x:c r="K86" s="30" t="str"/>
      <x:c r="L86" s="32" t="n">
        <x:v>46254.5</x:v>
      </x:c>
      <x:c r="M86" s="32" t="n">
        <x:v>46254.5</x:v>
      </x:c>
      <x:c r="N86" s="31" t="n">
        <x:f>SUMIF('Posting Splits'!$B$2:$B$147,A86,'Posting Splits'!$D$2:$D$147)</x:f>
        <x:v>-184800</x:v>
      </x:c>
      <x:c r="O86" s="30" t="str">
        <x:f>IF(G86="POSTED",IF(E86=N86,"OK","FAIL"),"N/A")</x:f>
        <x:v>OK</x:v>
      </x:c>
    </x:row>
    <x:row r="87">
      <x:c r="A87" s="30" t="str">
        <x:v>txn-0086</x:v>
      </x:c>
      <x:c r="B87" s="30" t="str">
        <x:v>fin-marketplace</x:v>
      </x:c>
      <x:c r="C87" s="32" t="n">
        <x:v>45991</x:v>
      </x:c>
      <x:c r="D87" s="34" t="n">
        <x:v>-296</x:v>
      </x:c>
      <x:c r="E87" s="31" t="n">
        <x:v>-29600</x:v>
      </x:c>
      <x:c r="F87" s="30" t="str">
        <x:v>FBAStorageFee</x:v>
      </x:c>
      <x:c r="G87" s="30" t="str">
        <x:v>POSTED</x:v>
      </x:c>
      <x:c r="H87" s="30" t="str">
        <x:v>MANUAL</x:v>
      </x:c>
      <x:c r="I87" s="30" t="str"/>
      <x:c r="J87" s="30" t="str">
        <x:v>imports/2025/marketplace-summary.csv</x:v>
      </x:c>
      <x:c r="K87" s="30" t="str"/>
      <x:c r="L87" s="32" t="n">
        <x:v>46254.5</x:v>
      </x:c>
      <x:c r="M87" s="32" t="n">
        <x:v>46254.5</x:v>
      </x:c>
      <x:c r="N87" s="31" t="n">
        <x:f>SUMIF('Posting Splits'!$B$2:$B$147,A87,'Posting Splits'!$D$2:$D$147)</x:f>
        <x:v>-29600</x:v>
      </x:c>
      <x:c r="O87" s="30" t="str">
        <x:f>IF(G87="POSTED",IF(E87=N87,"OK","FAIL"),"N/A")</x:f>
        <x:v>OK</x:v>
      </x:c>
    </x:row>
    <x:row r="88">
      <x:c r="A88" s="30" t="str">
        <x:v>txn-0087</x:v>
      </x:c>
      <x:c r="B88" s="30" t="str">
        <x:v>fin-marketplace</x:v>
      </x:c>
      <x:c r="C88" s="32" t="n">
        <x:v>45991</x:v>
      </x:c>
      <x:c r="D88" s="34" t="n">
        <x:v>-4992.8</x:v>
      </x:c>
      <x:c r="E88" s="31" t="n">
        <x:v>-499280</x:v>
      </x:c>
      <x:c r="F88" s="30" t="str">
        <x:v>Marketplace payout 2025-11</x:v>
      </x:c>
      <x:c r="G88" s="30" t="str">
        <x:v>MATCHED_TRANSFER</x:v>
      </x:c>
      <x:c r="H88" s="30" t="str">
        <x:v>TRANSFER</x:v>
      </x:c>
      <x:c r="I88" s="30" t="str">
        <x:v>transfer-0011</x:v>
      </x:c>
      <x:c r="J88" s="30" t="str">
        <x:v>imports/2025/marketplace-transfers.csv</x:v>
      </x:c>
      <x:c r="K88" s="30" t="str"/>
      <x:c r="L88" s="32" t="n">
        <x:v>46254.5</x:v>
      </x:c>
      <x:c r="M88" s="32" t="n">
        <x:v>46254.5</x:v>
      </x:c>
      <x:c r="N88" s="31" t="n">
        <x:f>SUMIF('Posting Splits'!$B$2:$B$147,A88,'Posting Splits'!$D$2:$D$147)</x:f>
        <x:v>0</x:v>
      </x:c>
      <x:c r="O88" s="30" t="str">
        <x:f>IF(G88="POSTED",IF(E88=N88,"OK","FAIL"),"N/A")</x:f>
        <x:v>N/A</x:v>
      </x:c>
    </x:row>
    <x:row r="89">
      <x:c r="A89" s="30" t="str">
        <x:v>txn-0088</x:v>
      </x:c>
      <x:c r="B89" s="30" t="str">
        <x:v>fin-bank-operating</x:v>
      </x:c>
      <x:c r="C89" s="32" t="n">
        <x:v>45991</x:v>
      </x:c>
      <x:c r="D89" s="34" t="n">
        <x:v>4992.8</x:v>
      </x:c>
      <x:c r="E89" s="31" t="n">
        <x:v>499280</x:v>
      </x:c>
      <x:c r="F89" s="30" t="str">
        <x:v>Marketplace deposit 2025-11</x:v>
      </x:c>
      <x:c r="G89" s="30" t="str">
        <x:v>MATCHED_TRANSFER</x:v>
      </x:c>
      <x:c r="H89" s="30" t="str">
        <x:v>TRANSFER</x:v>
      </x:c>
      <x:c r="I89" s="30" t="str">
        <x:v>transfer-0011</x:v>
      </x:c>
      <x:c r="J89" s="30" t="str">
        <x:v>imports/2025/operating-checking.xlsx</x:v>
      </x:c>
      <x:c r="K89" s="30" t="str"/>
      <x:c r="L89" s="32" t="n">
        <x:v>46254.5</x:v>
      </x:c>
      <x:c r="M89" s="32" t="n">
        <x:v>46254.5</x:v>
      </x:c>
      <x:c r="N89" s="31" t="n">
        <x:f>SUMIF('Posting Splits'!$B$2:$B$147,A89,'Posting Splits'!$D$2:$D$147)</x:f>
        <x:v>0</x:v>
      </x:c>
      <x:c r="O89" s="30" t="str">
        <x:f>IF(G89="POSTED",IF(E89=N89,"OK","FAIL"),"N/A")</x:f>
        <x:v>N/A</x:v>
      </x:c>
    </x:row>
    <x:row r="90">
      <x:c r="A90" s="30" t="str">
        <x:v>txn-0089</x:v>
      </x:c>
      <x:c r="B90" s="30" t="str">
        <x:v>fin-marketplace</x:v>
      </x:c>
      <x:c r="C90" s="32" t="n">
        <x:v>46022</x:v>
      </x:c>
      <x:c r="D90" s="34" t="n">
        <x:v>7900</x:v>
      </x:c>
      <x:c r="E90" s="31" t="n">
        <x:v>790000</x:v>
      </x:c>
      <x:c r="F90" s="30" t="str">
        <x:v>Product Charges</x:v>
      </x:c>
      <x:c r="G90" s="30" t="str">
        <x:v>POSTED</x:v>
      </x:c>
      <x:c r="H90" s="30" t="str">
        <x:v>MANUAL</x:v>
      </x:c>
      <x:c r="I90" s="30" t="str"/>
      <x:c r="J90" s="30" t="str">
        <x:v>imports/2025/marketplace-summary.csv</x:v>
      </x:c>
      <x:c r="K90" s="30" t="str"/>
      <x:c r="L90" s="32" t="n">
        <x:v>46254.5</x:v>
      </x:c>
      <x:c r="M90" s="32" t="n">
        <x:v>46254.5</x:v>
      </x:c>
      <x:c r="N90" s="31" t="n">
        <x:f>SUMIF('Posting Splits'!$B$2:$B$147,A90,'Posting Splits'!$D$2:$D$147)</x:f>
        <x:v>790000</x:v>
      </x:c>
      <x:c r="O90" s="30" t="str">
        <x:f>IF(G90="POSTED",IF(E90=N90,"OK","FAIL"),"N/A")</x:f>
        <x:v>OK</x:v>
      </x:c>
    </x:row>
    <x:row r="91">
      <x:c r="A91" s="30" t="str">
        <x:v>txn-0090</x:v>
      </x:c>
      <x:c r="B91" s="30" t="str">
        <x:v>fin-marketplace</x:v>
      </x:c>
      <x:c r="C91" s="32" t="n">
        <x:v>46022</x:v>
      </x:c>
      <x:c r="D91" s="34" t="n">
        <x:v>-513.5</x:v>
      </x:c>
      <x:c r="E91" s="31" t="n">
        <x:v>-51350</x:v>
      </x:c>
      <x:c r="F91" s="30" t="str">
        <x:v>Refunds</x:v>
      </x:c>
      <x:c r="G91" s="30" t="str">
        <x:v>POSTED</x:v>
      </x:c>
      <x:c r="H91" s="30" t="str">
        <x:v>MANUAL</x:v>
      </x:c>
      <x:c r="I91" s="30" t="str"/>
      <x:c r="J91" s="30" t="str">
        <x:v>imports/2025/marketplace-summary.csv</x:v>
      </x:c>
      <x:c r="K91" s="30" t="str"/>
      <x:c r="L91" s="32" t="n">
        <x:v>46254.5</x:v>
      </x:c>
      <x:c r="M91" s="32" t="n">
        <x:v>46254.5</x:v>
      </x:c>
      <x:c r="N91" s="31" t="n">
        <x:f>SUMIF('Posting Splits'!$B$2:$B$147,A91,'Posting Splits'!$D$2:$D$147)</x:f>
        <x:v>-51350</x:v>
      </x:c>
      <x:c r="O91" s="30" t="str">
        <x:f>IF(G91="POSTED",IF(E91=N91,"OK","FAIL"),"N/A")</x:f>
        <x:v>OK</x:v>
      </x:c>
    </x:row>
    <x:row r="92">
      <x:c r="A92" s="30" t="str">
        <x:v>txn-0091</x:v>
      </x:c>
      <x:c r="B92" s="30" t="str">
        <x:v>fin-marketplace</x:v>
      </x:c>
      <x:c r="C92" s="32" t="n">
        <x:v>46022</x:v>
      </x:c>
      <x:c r="D92" s="34" t="n">
        <x:v>86.9</x:v>
      </x:c>
      <x:c r="E92" s="31" t="n">
        <x:v>8690</x:v>
      </x:c>
      <x:c r="F92" s="30" t="str">
        <x:v>ShippingCharge</x:v>
      </x:c>
      <x:c r="G92" s="30" t="str">
        <x:v>POSTED</x:v>
      </x:c>
      <x:c r="H92" s="30" t="str">
        <x:v>MANUAL</x:v>
      </x:c>
      <x:c r="I92" s="30" t="str"/>
      <x:c r="J92" s="30" t="str">
        <x:v>imports/2025/marketplace-summary.csv</x:v>
      </x:c>
      <x:c r="K92" s="30" t="str"/>
      <x:c r="L92" s="32" t="n">
        <x:v>46254.5</x:v>
      </x:c>
      <x:c r="M92" s="32" t="n">
        <x:v>46254.5</x:v>
      </x:c>
      <x:c r="N92" s="31" t="n">
        <x:f>SUMIF('Posting Splits'!$B$2:$B$147,A92,'Posting Splits'!$D$2:$D$147)</x:f>
        <x:v>8690</x:v>
      </x:c>
      <x:c r="O92" s="30" t="str">
        <x:f>IF(G92="POSTED",IF(E92=N92,"OK","FAIL"),"N/A")</x:f>
        <x:v>OK</x:v>
      </x:c>
    </x:row>
    <x:row r="93">
      <x:c r="A93" s="30" t="str">
        <x:v>txn-0092</x:v>
      </x:c>
      <x:c r="B93" s="30" t="str">
        <x:v>fin-marketplace</x:v>
      </x:c>
      <x:c r="C93" s="32" t="n">
        <x:v>46022</x:v>
      </x:c>
      <x:c r="D93" s="34" t="n">
        <x:v>-1185</x:v>
      </x:c>
      <x:c r="E93" s="31" t="n">
        <x:v>-118500</x:v>
      </x:c>
      <x:c r="F93" s="30" t="str">
        <x:v>Commission</x:v>
      </x:c>
      <x:c r="G93" s="30" t="str">
        <x:v>POSTED</x:v>
      </x:c>
      <x:c r="H93" s="30" t="str">
        <x:v>MANUAL</x:v>
      </x:c>
      <x:c r="I93" s="30" t="str"/>
      <x:c r="J93" s="30" t="str">
        <x:v>imports/2025/marketplace-summary.csv</x:v>
      </x:c>
      <x:c r="K93" s="30" t="str"/>
      <x:c r="L93" s="32" t="n">
        <x:v>46254.5</x:v>
      </x:c>
      <x:c r="M93" s="32" t="n">
        <x:v>46254.5</x:v>
      </x:c>
      <x:c r="N93" s="31" t="n">
        <x:f>SUMIF('Posting Splits'!$B$2:$B$147,A93,'Posting Splits'!$D$2:$D$147)</x:f>
        <x:v>-118500</x:v>
      </x:c>
      <x:c r="O93" s="30" t="str">
        <x:f>IF(G93="POSTED",IF(E93=N93,"OK","FAIL"),"N/A")</x:f>
        <x:v>OK</x:v>
      </x:c>
    </x:row>
    <x:row r="94">
      <x:c r="A94" s="30" t="str">
        <x:v>txn-0093</x:v>
      </x:c>
      <x:c r="B94" s="30" t="str">
        <x:v>fin-marketplace</x:v>
      </x:c>
      <x:c r="C94" s="32" t="n">
        <x:v>46022</x:v>
      </x:c>
      <x:c r="D94" s="34" t="n">
        <x:v>-1777.5</x:v>
      </x:c>
      <x:c r="E94" s="31" t="n">
        <x:v>-177750</x:v>
      </x:c>
      <x:c r="F94" s="30" t="str">
        <x:v>FBAPerUnitFulfillmentFee</x:v>
      </x:c>
      <x:c r="G94" s="30" t="str">
        <x:v>POSTED</x:v>
      </x:c>
      <x:c r="H94" s="30" t="str">
        <x:v>MANUAL</x:v>
      </x:c>
      <x:c r="I94" s="30" t="str"/>
      <x:c r="J94" s="30" t="str">
        <x:v>imports/2025/marketplace-summary.csv</x:v>
      </x:c>
      <x:c r="K94" s="30" t="str"/>
      <x:c r="L94" s="32" t="n">
        <x:v>46254.5</x:v>
      </x:c>
      <x:c r="M94" s="32" t="n">
        <x:v>46254.5</x:v>
      </x:c>
      <x:c r="N94" s="31" t="n">
        <x:f>SUMIF('Posting Splits'!$B$2:$B$147,A94,'Posting Splits'!$D$2:$D$147)</x:f>
        <x:v>-177750</x:v>
      </x:c>
      <x:c r="O94" s="30" t="str">
        <x:f>IF(G94="POSTED",IF(E94=N94,"OK","FAIL"),"N/A")</x:f>
        <x:v>OK</x:v>
      </x:c>
    </x:row>
    <x:row r="95">
      <x:c r="A95" s="30" t="str">
        <x:v>txn-0094</x:v>
      </x:c>
      <x:c r="B95" s="30" t="str">
        <x:v>fin-marketplace</x:v>
      </x:c>
      <x:c r="C95" s="32" t="n">
        <x:v>46022</x:v>
      </x:c>
      <x:c r="D95" s="34" t="n">
        <x:v>-307</x:v>
      </x:c>
      <x:c r="E95" s="31" t="n">
        <x:v>-30700</x:v>
      </x:c>
      <x:c r="F95" s="30" t="str">
        <x:v>FBAStorageFee</x:v>
      </x:c>
      <x:c r="G95" s="30" t="str">
        <x:v>POSTED</x:v>
      </x:c>
      <x:c r="H95" s="30" t="str">
        <x:v>MANUAL</x:v>
      </x:c>
      <x:c r="I95" s="30" t="str"/>
      <x:c r="J95" s="30" t="str">
        <x:v>imports/2025/marketplace-summary.csv</x:v>
      </x:c>
      <x:c r="K95" s="30" t="str"/>
      <x:c r="L95" s="32" t="n">
        <x:v>46254.5</x:v>
      </x:c>
      <x:c r="M95" s="32" t="n">
        <x:v>46254.5</x:v>
      </x:c>
      <x:c r="N95" s="31" t="n">
        <x:f>SUMIF('Posting Splits'!$B$2:$B$147,A95,'Posting Splits'!$D$2:$D$147)</x:f>
        <x:v>-30700</x:v>
      </x:c>
      <x:c r="O95" s="30" t="str">
        <x:f>IF(G95="POSTED",IF(E95=N95,"OK","FAIL"),"N/A")</x:f>
        <x:v>OK</x:v>
      </x:c>
    </x:row>
    <x:row r="96">
      <x:c r="A96" s="30" t="str">
        <x:v>txn-0095</x:v>
      </x:c>
      <x:c r="B96" s="30" t="str">
        <x:v>fin-marketplace</x:v>
      </x:c>
      <x:c r="C96" s="32" t="n">
        <x:v>46022</x:v>
      </x:c>
      <x:c r="D96" s="34" t="n">
        <x:v>-75</x:v>
      </x:c>
      <x:c r="E96" s="31" t="n">
        <x:v>-7500</x:v>
      </x:c>
      <x:c r="F96" s="30" t="str">
        <x:v>MiscPlatformFee</x:v>
      </x:c>
      <x:c r="G96" s="30" t="str">
        <x:v>POSTED</x:v>
      </x:c>
      <x:c r="H96" s="30" t="str">
        <x:v>MANUAL</x:v>
      </x:c>
      <x:c r="I96" s="30" t="str"/>
      <x:c r="J96" s="30" t="str">
        <x:v>imports/2025/marketplace-summary.csv</x:v>
      </x:c>
      <x:c r="K96" s="30" t="str"/>
      <x:c r="L96" s="32" t="n">
        <x:v>46254.5</x:v>
      </x:c>
      <x:c r="M96" s="32" t="n">
        <x:v>46254.5</x:v>
      </x:c>
      <x:c r="N96" s="31" t="n">
        <x:f>SUMIF('Posting Splits'!$B$2:$B$147,A96,'Posting Splits'!$D$2:$D$147)</x:f>
        <x:v>-7500</x:v>
      </x:c>
      <x:c r="O96" s="30" t="str">
        <x:f>IF(G96="POSTED",IF(E96=N96,"OK","FAIL"),"N/A")</x:f>
        <x:v>OK</x:v>
      </x:c>
    </x:row>
    <x:row r="97">
      <x:c r="A97" s="30" t="str">
        <x:v>txn-0096</x:v>
      </x:c>
      <x:c r="B97" s="30" t="str">
        <x:v>fin-marketplace</x:v>
      </x:c>
      <x:c r="C97" s="32" t="n">
        <x:v>46022</x:v>
      </x:c>
      <x:c r="D97" s="34" t="n">
        <x:v>-4128.9</x:v>
      </x:c>
      <x:c r="E97" s="31" t="n">
        <x:v>-412890</x:v>
      </x:c>
      <x:c r="F97" s="30" t="str">
        <x:v>Marketplace payout 2025-12</x:v>
      </x:c>
      <x:c r="G97" s="30" t="str">
        <x:v>MATCHED_TRANSFER</x:v>
      </x:c>
      <x:c r="H97" s="30" t="str">
        <x:v>TRANSFER</x:v>
      </x:c>
      <x:c r="I97" s="30" t="str">
        <x:v>transfer-0012</x:v>
      </x:c>
      <x:c r="J97" s="30" t="str">
        <x:v>imports/2025/marketplace-transfers.csv</x:v>
      </x:c>
      <x:c r="K97" s="30" t="str"/>
      <x:c r="L97" s="32" t="n">
        <x:v>46254.5</x:v>
      </x:c>
      <x:c r="M97" s="32" t="n">
        <x:v>46254.5</x:v>
      </x:c>
      <x:c r="N97" s="31" t="n">
        <x:f>SUMIF('Posting Splits'!$B$2:$B$147,A97,'Posting Splits'!$D$2:$D$147)</x:f>
        <x:v>0</x:v>
      </x:c>
      <x:c r="O97" s="30" t="str">
        <x:f>IF(G97="POSTED",IF(E97=N97,"OK","FAIL"),"N/A")</x:f>
        <x:v>N/A</x:v>
      </x:c>
    </x:row>
    <x:row r="98">
      <x:c r="A98" s="30" t="str">
        <x:v>txn-0097</x:v>
      </x:c>
      <x:c r="B98" s="30" t="str">
        <x:v>fin-bank-operating</x:v>
      </x:c>
      <x:c r="C98" s="32" t="n">
        <x:v>46022</x:v>
      </x:c>
      <x:c r="D98" s="34" t="n">
        <x:v>4128.9</x:v>
      </x:c>
      <x:c r="E98" s="31" t="n">
        <x:v>412890</x:v>
      </x:c>
      <x:c r="F98" s="30" t="str">
        <x:v>Marketplace deposit 2025-12</x:v>
      </x:c>
      <x:c r="G98" s="30" t="str">
        <x:v>MATCHED_TRANSFER</x:v>
      </x:c>
      <x:c r="H98" s="30" t="str">
        <x:v>TRANSFER</x:v>
      </x:c>
      <x:c r="I98" s="30" t="str">
        <x:v>transfer-0012</x:v>
      </x:c>
      <x:c r="J98" s="30" t="str">
        <x:v>imports/2025/operating-checking.xlsx</x:v>
      </x:c>
      <x:c r="K98" s="30" t="str"/>
      <x:c r="L98" s="32" t="n">
        <x:v>46254.5</x:v>
      </x:c>
      <x:c r="M98" s="32" t="n">
        <x:v>46254.5</x:v>
      </x:c>
      <x:c r="N98" s="31" t="n">
        <x:f>SUMIF('Posting Splits'!$B$2:$B$147,A98,'Posting Splits'!$D$2:$D$147)</x:f>
        <x:v>0</x:v>
      </x:c>
      <x:c r="O98" s="30" t="str">
        <x:f>IF(G98="POSTED",IF(E98=N98,"OK","FAIL"),"N/A")</x:f>
        <x:v>N/A</x:v>
      </x:c>
    </x:row>
    <x:row r="99">
      <x:c r="A99" s="30" t="str">
        <x:v>txn-0098</x:v>
      </x:c>
      <x:c r="B99" s="30" t="str">
        <x:v>fin-marketplace</x:v>
      </x:c>
      <x:c r="C99" s="32" t="n">
        <x:v>46053</x:v>
      </x:c>
      <x:c r="D99" s="34" t="n">
        <x:v>13200</x:v>
      </x:c>
      <x:c r="E99" s="31" t="n">
        <x:v>1320000</x:v>
      </x:c>
      <x:c r="F99" s="30" t="str">
        <x:v>Product Charges</x:v>
      </x:c>
      <x:c r="G99" s="30" t="str">
        <x:v>POSTED</x:v>
      </x:c>
      <x:c r="H99" s="30" t="str">
        <x:v>MANUAL</x:v>
      </x:c>
      <x:c r="I99" s="30" t="str"/>
      <x:c r="J99" s="30" t="str">
        <x:v>imports/2026/marketplace-summary.csv</x:v>
      </x:c>
      <x:c r="K99" s="30" t="str"/>
      <x:c r="L99" s="32" t="n">
        <x:v>46254.5</x:v>
      </x:c>
      <x:c r="M99" s="32" t="n">
        <x:v>46254.5</x:v>
      </x:c>
      <x:c r="N99" s="31" t="n">
        <x:f>SUMIF('Posting Splits'!$B$2:$B$147,A99,'Posting Splits'!$D$2:$D$147)</x:f>
        <x:v>1320000</x:v>
      </x:c>
      <x:c r="O99" s="30" t="str">
        <x:f>IF(G99="POSTED",IF(E99=N99,"OK","FAIL"),"N/A")</x:f>
        <x:v>OK</x:v>
      </x:c>
    </x:row>
    <x:row r="100">
      <x:c r="A100" s="30" t="str">
        <x:v>txn-0099</x:v>
      </x:c>
      <x:c r="B100" s="30" t="str">
        <x:v>fin-marketplace</x:v>
      </x:c>
      <x:c r="C100" s="32" t="n">
        <x:v>46053</x:v>
      </x:c>
      <x:c r="D100" s="34" t="n">
        <x:v>-660</x:v>
      </x:c>
      <x:c r="E100" s="31" t="n">
        <x:v>-66000</x:v>
      </x:c>
      <x:c r="F100" s="30" t="str">
        <x:v>Refunds</x:v>
      </x:c>
      <x:c r="G100" s="30" t="str">
        <x:v>POSTED</x:v>
      </x:c>
      <x:c r="H100" s="30" t="str">
        <x:v>MANUAL</x:v>
      </x:c>
      <x:c r="I100" s="30" t="str"/>
      <x:c r="J100" s="30" t="str">
        <x:v>imports/2026/marketplace-summary.csv</x:v>
      </x:c>
      <x:c r="K100" s="30" t="str"/>
      <x:c r="L100" s="32" t="n">
        <x:v>46254.5</x:v>
      </x:c>
      <x:c r="M100" s="32" t="n">
        <x:v>46254.5</x:v>
      </x:c>
      <x:c r="N100" s="31" t="n">
        <x:f>SUMIF('Posting Splits'!$B$2:$B$147,A100,'Posting Splits'!$D$2:$D$147)</x:f>
        <x:v>-66000</x:v>
      </x:c>
      <x:c r="O100" s="30" t="str">
        <x:f>IF(G100="POSTED",IF(E100=N100,"OK","FAIL"),"N/A")</x:f>
        <x:v>OK</x:v>
      </x:c>
    </x:row>
    <x:row r="101">
      <x:c r="A101" s="30" t="str">
        <x:v>txn-0100</x:v>
      </x:c>
      <x:c r="B101" s="30" t="str">
        <x:v>fin-marketplace</x:v>
      </x:c>
      <x:c r="C101" s="32" t="n">
        <x:v>46053</x:v>
      </x:c>
      <x:c r="D101" s="34" t="n">
        <x:v>145.2</x:v>
      </x:c>
      <x:c r="E101" s="31" t="n">
        <x:v>14520</x:v>
      </x:c>
      <x:c r="F101" s="30" t="str">
        <x:v>ShippingCharge</x:v>
      </x:c>
      <x:c r="G101" s="30" t="str">
        <x:v>POSTED</x:v>
      </x:c>
      <x:c r="H101" s="30" t="str">
        <x:v>MANUAL</x:v>
      </x:c>
      <x:c r="I101" s="30" t="str"/>
      <x:c r="J101" s="30" t="str">
        <x:v>imports/2026/marketplace-summary.csv</x:v>
      </x:c>
      <x:c r="K101" s="30" t="str"/>
      <x:c r="L101" s="32" t="n">
        <x:v>46254.5</x:v>
      </x:c>
      <x:c r="M101" s="32" t="n">
        <x:v>46254.5</x:v>
      </x:c>
      <x:c r="N101" s="31" t="n">
        <x:f>SUMIF('Posting Splits'!$B$2:$B$147,A101,'Posting Splits'!$D$2:$D$147)</x:f>
        <x:v>14520</x:v>
      </x:c>
      <x:c r="O101" s="30" t="str">
        <x:f>IF(G101="POSTED",IF(E101=N101,"OK","FAIL"),"N/A")</x:f>
        <x:v>OK</x:v>
      </x:c>
    </x:row>
    <x:row r="102">
      <x:c r="A102" s="30" t="str">
        <x:v>txn-0101</x:v>
      </x:c>
      <x:c r="B102" s="30" t="str">
        <x:v>fin-marketplace</x:v>
      </x:c>
      <x:c r="C102" s="32" t="n">
        <x:v>46053</x:v>
      </x:c>
      <x:c r="D102" s="34" t="n">
        <x:v>-1980</x:v>
      </x:c>
      <x:c r="E102" s="31" t="n">
        <x:v>-198000</x:v>
      </x:c>
      <x:c r="F102" s="30" t="str">
        <x:v>Commission</x:v>
      </x:c>
      <x:c r="G102" s="30" t="str">
        <x:v>POSTED</x:v>
      </x:c>
      <x:c r="H102" s="30" t="str">
        <x:v>MANUAL</x:v>
      </x:c>
      <x:c r="I102" s="30" t="str"/>
      <x:c r="J102" s="30" t="str">
        <x:v>imports/2026/marketplace-summary.csv</x:v>
      </x:c>
      <x:c r="K102" s="30" t="str"/>
      <x:c r="L102" s="32" t="n">
        <x:v>46254.5</x:v>
      </x:c>
      <x:c r="M102" s="32" t="n">
        <x:v>46254.5</x:v>
      </x:c>
      <x:c r="N102" s="31" t="n">
        <x:f>SUMIF('Posting Splits'!$B$2:$B$147,A102,'Posting Splits'!$D$2:$D$147)</x:f>
        <x:v>-198000</x:v>
      </x:c>
      <x:c r="O102" s="30" t="str">
        <x:f>IF(G102="POSTED",IF(E102=N102,"OK","FAIL"),"N/A")</x:f>
        <x:v>OK</x:v>
      </x:c>
    </x:row>
    <x:row r="103">
      <x:c r="A103" s="30" t="str">
        <x:v>txn-0102</x:v>
      </x:c>
      <x:c r="B103" s="30" t="str">
        <x:v>fin-marketplace</x:v>
      </x:c>
      <x:c r="C103" s="32" t="n">
        <x:v>46053</x:v>
      </x:c>
      <x:c r="D103" s="34" t="n">
        <x:v>-2772</x:v>
      </x:c>
      <x:c r="E103" s="31" t="n">
        <x:v>-277200</x:v>
      </x:c>
      <x:c r="F103" s="30" t="str">
        <x:v>FBAPerUnitFulfillmentFee</x:v>
      </x:c>
      <x:c r="G103" s="30" t="str">
        <x:v>POSTED</x:v>
      </x:c>
      <x:c r="H103" s="30" t="str">
        <x:v>MANUAL</x:v>
      </x:c>
      <x:c r="I103" s="30" t="str"/>
      <x:c r="J103" s="30" t="str">
        <x:v>imports/2026/marketplace-summary.csv</x:v>
      </x:c>
      <x:c r="K103" s="30" t="str"/>
      <x:c r="L103" s="32" t="n">
        <x:v>46254.5</x:v>
      </x:c>
      <x:c r="M103" s="32" t="n">
        <x:v>46254.5</x:v>
      </x:c>
      <x:c r="N103" s="31" t="n">
        <x:f>SUMIF('Posting Splits'!$B$2:$B$147,A103,'Posting Splits'!$D$2:$D$147)</x:f>
        <x:v>-277200</x:v>
      </x:c>
      <x:c r="O103" s="30" t="str">
        <x:f>IF(G103="POSTED",IF(E103=N103,"OK","FAIL"),"N/A")</x:f>
        <x:v>OK</x:v>
      </x:c>
    </x:row>
    <x:row r="104">
      <x:c r="A104" s="30" t="str">
        <x:v>txn-0103</x:v>
      </x:c>
      <x:c r="B104" s="30" t="str">
        <x:v>fin-marketplace</x:v>
      </x:c>
      <x:c r="C104" s="32" t="n">
        <x:v>46053</x:v>
      </x:c>
      <x:c r="D104" s="34" t="n">
        <x:v>-131</x:v>
      </x:c>
      <x:c r="E104" s="31" t="n">
        <x:v>-13100</x:v>
      </x:c>
      <x:c r="F104" s="30" t="str">
        <x:v>FBAStorageFee</x:v>
      </x:c>
      <x:c r="G104" s="30" t="str">
        <x:v>POSTED</x:v>
      </x:c>
      <x:c r="H104" s="30" t="str">
        <x:v>MANUAL</x:v>
      </x:c>
      <x:c r="I104" s="30" t="str"/>
      <x:c r="J104" s="30" t="str">
        <x:v>imports/2026/marketplace-summary.csv</x:v>
      </x:c>
      <x:c r="K104" s="30" t="str"/>
      <x:c r="L104" s="32" t="n">
        <x:v>46254.5</x:v>
      </x:c>
      <x:c r="M104" s="32" t="n">
        <x:v>46254.5</x:v>
      </x:c>
      <x:c r="N104" s="31" t="n">
        <x:f>SUMIF('Posting Splits'!$B$2:$B$147,A104,'Posting Splits'!$D$2:$D$147)</x:f>
        <x:v>-13100</x:v>
      </x:c>
      <x:c r="O104" s="30" t="str">
        <x:f>IF(G104="POSTED",IF(E104=N104,"OK","FAIL"),"N/A")</x:f>
        <x:v>OK</x:v>
      </x:c>
    </x:row>
    <x:row r="105">
      <x:c r="A105" s="30" t="str">
        <x:v>txn-0104</x:v>
      </x:c>
      <x:c r="B105" s="30" t="str">
        <x:v>fin-marketplace</x:v>
      </x:c>
      <x:c r="C105" s="32" t="n">
        <x:v>46053</x:v>
      </x:c>
      <x:c r="D105" s="34" t="n">
        <x:v>-7802.2</x:v>
      </x:c>
      <x:c r="E105" s="31" t="n">
        <x:v>-780220</x:v>
      </x:c>
      <x:c r="F105" s="30" t="str">
        <x:v>Marketplace payout 2026-01</x:v>
      </x:c>
      <x:c r="G105" s="30" t="str">
        <x:v>MATCHED_TRANSFER</x:v>
      </x:c>
      <x:c r="H105" s="30" t="str">
        <x:v>TRANSFER</x:v>
      </x:c>
      <x:c r="I105" s="30" t="str">
        <x:v>transfer-0013</x:v>
      </x:c>
      <x:c r="J105" s="30" t="str">
        <x:v>imports/2026/marketplace-transfers.csv</x:v>
      </x:c>
      <x:c r="K105" s="30" t="str"/>
      <x:c r="L105" s="32" t="n">
        <x:v>46254.5</x:v>
      </x:c>
      <x:c r="M105" s="32" t="n">
        <x:v>46254.5</x:v>
      </x:c>
      <x:c r="N105" s="31" t="n">
        <x:f>SUMIF('Posting Splits'!$B$2:$B$147,A105,'Posting Splits'!$D$2:$D$147)</x:f>
        <x:v>0</x:v>
      </x:c>
      <x:c r="O105" s="30" t="str">
        <x:f>IF(G105="POSTED",IF(E105=N105,"OK","FAIL"),"N/A")</x:f>
        <x:v>N/A</x:v>
      </x:c>
    </x:row>
    <x:row r="106">
      <x:c r="A106" s="30" t="str">
        <x:v>txn-0105</x:v>
      </x:c>
      <x:c r="B106" s="30" t="str">
        <x:v>fin-bank-operating</x:v>
      </x:c>
      <x:c r="C106" s="32" t="n">
        <x:v>46053</x:v>
      </x:c>
      <x:c r="D106" s="34" t="n">
        <x:v>7802.2</x:v>
      </x:c>
      <x:c r="E106" s="31" t="n">
        <x:v>780220</x:v>
      </x:c>
      <x:c r="F106" s="30" t="str">
        <x:v>Marketplace deposit 2026-01</x:v>
      </x:c>
      <x:c r="G106" s="30" t="str">
        <x:v>MATCHED_TRANSFER</x:v>
      </x:c>
      <x:c r="H106" s="30" t="str">
        <x:v>TRANSFER</x:v>
      </x:c>
      <x:c r="I106" s="30" t="str">
        <x:v>transfer-0013</x:v>
      </x:c>
      <x:c r="J106" s="30" t="str">
        <x:v>imports/2026/operating-checking.qbo</x:v>
      </x:c>
      <x:c r="K106" s="30" t="str"/>
      <x:c r="L106" s="32" t="n">
        <x:v>46254.5</x:v>
      </x:c>
      <x:c r="M106" s="32" t="n">
        <x:v>46254.5</x:v>
      </x:c>
      <x:c r="N106" s="31" t="n">
        <x:f>SUMIF('Posting Splits'!$B$2:$B$147,A106,'Posting Splits'!$D$2:$D$147)</x:f>
        <x:v>0</x:v>
      </x:c>
      <x:c r="O106" s="30" t="str">
        <x:f>IF(G106="POSTED",IF(E106=N106,"OK","FAIL"),"N/A")</x:f>
        <x:v>N/A</x:v>
      </x:c>
    </x:row>
    <x:row r="107">
      <x:c r="A107" s="30" t="str">
        <x:v>txn-0106</x:v>
      </x:c>
      <x:c r="B107" s="30" t="str">
        <x:v>fin-marketplace</x:v>
      </x:c>
      <x:c r="C107" s="32" t="n">
        <x:v>46081</x:v>
      </x:c>
      <x:c r="D107" s="34" t="n">
        <x:v>11600</x:v>
      </x:c>
      <x:c r="E107" s="31" t="n">
        <x:v>1160000</x:v>
      </x:c>
      <x:c r="F107" s="30" t="str">
        <x:v>Product Charges</x:v>
      </x:c>
      <x:c r="G107" s="30" t="str">
        <x:v>POSTED</x:v>
      </x:c>
      <x:c r="H107" s="30" t="str">
        <x:v>MANUAL</x:v>
      </x:c>
      <x:c r="I107" s="30" t="str"/>
      <x:c r="J107" s="30" t="str">
        <x:v>imports/2026/marketplace-summary.csv</x:v>
      </x:c>
      <x:c r="K107" s="30" t="str"/>
      <x:c r="L107" s="32" t="n">
        <x:v>46254.5</x:v>
      </x:c>
      <x:c r="M107" s="32" t="n">
        <x:v>46254.5</x:v>
      </x:c>
      <x:c r="N107" s="31" t="n">
        <x:f>SUMIF('Posting Splits'!$B$2:$B$147,A107,'Posting Splits'!$D$2:$D$147)</x:f>
        <x:v>1160000</x:v>
      </x:c>
      <x:c r="O107" s="30" t="str">
        <x:f>IF(G107="POSTED",IF(E107=N107,"OK","FAIL"),"N/A")</x:f>
        <x:v>OK</x:v>
      </x:c>
    </x:row>
    <x:row r="108">
      <x:c r="A108" s="30" t="str">
        <x:v>txn-0107</x:v>
      </x:c>
      <x:c r="B108" s="30" t="str">
        <x:v>fin-marketplace</x:v>
      </x:c>
      <x:c r="C108" s="32" t="n">
        <x:v>46081</x:v>
      </x:c>
      <x:c r="D108" s="34" t="n">
        <x:v>-580</x:v>
      </x:c>
      <x:c r="E108" s="31" t="n">
        <x:v>-58000</x:v>
      </x:c>
      <x:c r="F108" s="30" t="str">
        <x:v>Refunds</x:v>
      </x:c>
      <x:c r="G108" s="30" t="str">
        <x:v>POSTED</x:v>
      </x:c>
      <x:c r="H108" s="30" t="str">
        <x:v>MANUAL</x:v>
      </x:c>
      <x:c r="I108" s="30" t="str"/>
      <x:c r="J108" s="30" t="str">
        <x:v>imports/2026/marketplace-summary.csv</x:v>
      </x:c>
      <x:c r="K108" s="30" t="str"/>
      <x:c r="L108" s="32" t="n">
        <x:v>46254.5</x:v>
      </x:c>
      <x:c r="M108" s="32" t="n">
        <x:v>46254.5</x:v>
      </x:c>
      <x:c r="N108" s="31" t="n">
        <x:f>SUMIF('Posting Splits'!$B$2:$B$147,A108,'Posting Splits'!$D$2:$D$147)</x:f>
        <x:v>-58000</x:v>
      </x:c>
      <x:c r="O108" s="30" t="str">
        <x:f>IF(G108="POSTED",IF(E108=N108,"OK","FAIL"),"N/A")</x:f>
        <x:v>OK</x:v>
      </x:c>
    </x:row>
    <x:row r="109">
      <x:c r="A109" s="30" t="str">
        <x:v>txn-0108</x:v>
      </x:c>
      <x:c r="B109" s="30" t="str">
        <x:v>fin-marketplace</x:v>
      </x:c>
      <x:c r="C109" s="32" t="n">
        <x:v>46081</x:v>
      </x:c>
      <x:c r="D109" s="34" t="n">
        <x:v>127.6</x:v>
      </x:c>
      <x:c r="E109" s="31" t="n">
        <x:v>12760</x:v>
      </x:c>
      <x:c r="F109" s="30" t="str">
        <x:v>ShippingCharge</x:v>
      </x:c>
      <x:c r="G109" s="30" t="str">
        <x:v>POSTED</x:v>
      </x:c>
      <x:c r="H109" s="30" t="str">
        <x:v>MANUAL</x:v>
      </x:c>
      <x:c r="I109" s="30" t="str"/>
      <x:c r="J109" s="30" t="str">
        <x:v>imports/2026/marketplace-summary.csv</x:v>
      </x:c>
      <x:c r="K109" s="30" t="str"/>
      <x:c r="L109" s="32" t="n">
        <x:v>46254.5</x:v>
      </x:c>
      <x:c r="M109" s="32" t="n">
        <x:v>46254.5</x:v>
      </x:c>
      <x:c r="N109" s="31" t="n">
        <x:f>SUMIF('Posting Splits'!$B$2:$B$147,A109,'Posting Splits'!$D$2:$D$147)</x:f>
        <x:v>12760</x:v>
      </x:c>
      <x:c r="O109" s="30" t="str">
        <x:f>IF(G109="POSTED",IF(E109=N109,"OK","FAIL"),"N/A")</x:f>
        <x:v>OK</x:v>
      </x:c>
    </x:row>
    <x:row r="110">
      <x:c r="A110" s="30" t="str">
        <x:v>txn-0109</x:v>
      </x:c>
      <x:c r="B110" s="30" t="str">
        <x:v>fin-marketplace</x:v>
      </x:c>
      <x:c r="C110" s="32" t="n">
        <x:v>46081</x:v>
      </x:c>
      <x:c r="D110" s="34" t="n">
        <x:v>-1740</x:v>
      </x:c>
      <x:c r="E110" s="31" t="n">
        <x:v>-174000</x:v>
      </x:c>
      <x:c r="F110" s="30" t="str">
        <x:v>Commission</x:v>
      </x:c>
      <x:c r="G110" s="30" t="str">
        <x:v>POSTED</x:v>
      </x:c>
      <x:c r="H110" s="30" t="str">
        <x:v>MANUAL</x:v>
      </x:c>
      <x:c r="I110" s="30" t="str"/>
      <x:c r="J110" s="30" t="str">
        <x:v>imports/2026/marketplace-summary.csv</x:v>
      </x:c>
      <x:c r="K110" s="30" t="str"/>
      <x:c r="L110" s="32" t="n">
        <x:v>46254.5</x:v>
      </x:c>
      <x:c r="M110" s="32" t="n">
        <x:v>46254.5</x:v>
      </x:c>
      <x:c r="N110" s="31" t="n">
        <x:f>SUMIF('Posting Splits'!$B$2:$B$147,A110,'Posting Splits'!$D$2:$D$147)</x:f>
        <x:v>-174000</x:v>
      </x:c>
      <x:c r="O110" s="30" t="str">
        <x:f>IF(G110="POSTED",IF(E110=N110,"OK","FAIL"),"N/A")</x:f>
        <x:v>OK</x:v>
      </x:c>
    </x:row>
    <x:row r="111">
      <x:c r="A111" s="30" t="str">
        <x:v>txn-0110</x:v>
      </x:c>
      <x:c r="B111" s="30" t="str">
        <x:v>fin-marketplace</x:v>
      </x:c>
      <x:c r="C111" s="32" t="n">
        <x:v>46081</x:v>
      </x:c>
      <x:c r="D111" s="34" t="n">
        <x:v>-2436</x:v>
      </x:c>
      <x:c r="E111" s="31" t="n">
        <x:v>-243600</x:v>
      </x:c>
      <x:c r="F111" s="30" t="str">
        <x:v>FBAPerUnitFulfillmentFee</x:v>
      </x:c>
      <x:c r="G111" s="30" t="str">
        <x:v>POSTED</x:v>
      </x:c>
      <x:c r="H111" s="30" t="str">
        <x:v>MANUAL</x:v>
      </x:c>
      <x:c r="I111" s="30" t="str"/>
      <x:c r="J111" s="30" t="str">
        <x:v>imports/2026/marketplace-summary.csv</x:v>
      </x:c>
      <x:c r="K111" s="30" t="str"/>
      <x:c r="L111" s="32" t="n">
        <x:v>46254.5</x:v>
      </x:c>
      <x:c r="M111" s="32" t="n">
        <x:v>46254.5</x:v>
      </x:c>
      <x:c r="N111" s="31" t="n">
        <x:f>SUMIF('Posting Splits'!$B$2:$B$147,A111,'Posting Splits'!$D$2:$D$147)</x:f>
        <x:v>-243600</x:v>
      </x:c>
      <x:c r="O111" s="30" t="str">
        <x:f>IF(G111="POSTED",IF(E111=N111,"OK","FAIL"),"N/A")</x:f>
        <x:v>OK</x:v>
      </x:c>
    </x:row>
    <x:row r="112">
      <x:c r="A112" s="30" t="str">
        <x:v>txn-0111</x:v>
      </x:c>
      <x:c r="B112" s="30" t="str">
        <x:v>fin-marketplace</x:v>
      </x:c>
      <x:c r="C112" s="32" t="n">
        <x:v>46081</x:v>
      </x:c>
      <x:c r="D112" s="34" t="n">
        <x:v>-142</x:v>
      </x:c>
      <x:c r="E112" s="31" t="n">
        <x:v>-14200</x:v>
      </x:c>
      <x:c r="F112" s="30" t="str">
        <x:v>FBAStorageFee</x:v>
      </x:c>
      <x:c r="G112" s="30" t="str">
        <x:v>POSTED</x:v>
      </x:c>
      <x:c r="H112" s="30" t="str">
        <x:v>MANUAL</x:v>
      </x:c>
      <x:c r="I112" s="30" t="str"/>
      <x:c r="J112" s="30" t="str">
        <x:v>imports/2026/marketplace-summary.csv</x:v>
      </x:c>
      <x:c r="K112" s="30" t="str"/>
      <x:c r="L112" s="32" t="n">
        <x:v>46254.5</x:v>
      </x:c>
      <x:c r="M112" s="32" t="n">
        <x:v>46254.5</x:v>
      </x:c>
      <x:c r="N112" s="31" t="n">
        <x:f>SUMIF('Posting Splits'!$B$2:$B$147,A112,'Posting Splits'!$D$2:$D$147)</x:f>
        <x:v>-14200</x:v>
      </x:c>
      <x:c r="O112" s="30" t="str">
        <x:f>IF(G112="POSTED",IF(E112=N112,"OK","FAIL"),"N/A")</x:f>
        <x:v>OK</x:v>
      </x:c>
    </x:row>
    <x:row r="113">
      <x:c r="A113" s="30" t="str">
        <x:v>txn-0112</x:v>
      </x:c>
      <x:c r="B113" s="30" t="str">
        <x:v>fin-marketplace</x:v>
      </x:c>
      <x:c r="C113" s="32" t="n">
        <x:v>46081</x:v>
      </x:c>
      <x:c r="D113" s="34" t="n">
        <x:v>-6829.6</x:v>
      </x:c>
      <x:c r="E113" s="31" t="n">
        <x:v>-682960</x:v>
      </x:c>
      <x:c r="F113" s="30" t="str">
        <x:v>Marketplace payout 2026-02</x:v>
      </x:c>
      <x:c r="G113" s="30" t="str">
        <x:v>MATCHED_TRANSFER</x:v>
      </x:c>
      <x:c r="H113" s="30" t="str">
        <x:v>TRANSFER</x:v>
      </x:c>
      <x:c r="I113" s="30" t="str">
        <x:v>transfer-0014</x:v>
      </x:c>
      <x:c r="J113" s="30" t="str">
        <x:v>imports/2026/marketplace-transfers.csv</x:v>
      </x:c>
      <x:c r="K113" s="30" t="str"/>
      <x:c r="L113" s="32" t="n">
        <x:v>46254.5</x:v>
      </x:c>
      <x:c r="M113" s="32" t="n">
        <x:v>46254.5</x:v>
      </x:c>
      <x:c r="N113" s="31" t="n">
        <x:f>SUMIF('Posting Splits'!$B$2:$B$147,A113,'Posting Splits'!$D$2:$D$147)</x:f>
        <x:v>0</x:v>
      </x:c>
      <x:c r="O113" s="30" t="str">
        <x:f>IF(G113="POSTED",IF(E113=N113,"OK","FAIL"),"N/A")</x:f>
        <x:v>N/A</x:v>
      </x:c>
    </x:row>
    <x:row r="114">
      <x:c r="A114" s="30" t="str">
        <x:v>txn-0113</x:v>
      </x:c>
      <x:c r="B114" s="30" t="str">
        <x:v>fin-bank-operating</x:v>
      </x:c>
      <x:c r="C114" s="32" t="n">
        <x:v>46081</x:v>
      </x:c>
      <x:c r="D114" s="34" t="n">
        <x:v>6829.6</x:v>
      </x:c>
      <x:c r="E114" s="31" t="n">
        <x:v>682960</x:v>
      </x:c>
      <x:c r="F114" s="30" t="str">
        <x:v>Marketplace deposit 2026-02</x:v>
      </x:c>
      <x:c r="G114" s="30" t="str">
        <x:v>MATCHED_TRANSFER</x:v>
      </x:c>
      <x:c r="H114" s="30" t="str">
        <x:v>TRANSFER</x:v>
      </x:c>
      <x:c r="I114" s="30" t="str">
        <x:v>transfer-0014</x:v>
      </x:c>
      <x:c r="J114" s="30" t="str">
        <x:v>imports/2026/operating-checking.qbo</x:v>
      </x:c>
      <x:c r="K114" s="30" t="str"/>
      <x:c r="L114" s="32" t="n">
        <x:v>46254.5</x:v>
      </x:c>
      <x:c r="M114" s="32" t="n">
        <x:v>46254.5</x:v>
      </x:c>
      <x:c r="N114" s="31" t="n">
        <x:f>SUMIF('Posting Splits'!$B$2:$B$147,A114,'Posting Splits'!$D$2:$D$147)</x:f>
        <x:v>0</x:v>
      </x:c>
      <x:c r="O114" s="30" t="str">
        <x:f>IF(G114="POSTED",IF(E114=N114,"OK","FAIL"),"N/A")</x:f>
        <x:v>N/A</x:v>
      </x:c>
    </x:row>
    <x:row r="115">
      <x:c r="A115" s="30" t="str">
        <x:v>txn-0114</x:v>
      </x:c>
      <x:c r="B115" s="30" t="str">
        <x:v>fin-marketplace</x:v>
      </x:c>
      <x:c r="C115" s="32" t="n">
        <x:v>46112</x:v>
      </x:c>
      <x:c r="D115" s="34" t="n">
        <x:v>7600</x:v>
      </x:c>
      <x:c r="E115" s="31" t="n">
        <x:v>760000</x:v>
      </x:c>
      <x:c r="F115" s="30" t="str">
        <x:v>Product Charges</x:v>
      </x:c>
      <x:c r="G115" s="30" t="str">
        <x:v>POSTED</x:v>
      </x:c>
      <x:c r="H115" s="30" t="str">
        <x:v>MANUAL</x:v>
      </x:c>
      <x:c r="I115" s="30" t="str"/>
      <x:c r="J115" s="30" t="str">
        <x:v>imports/2026/marketplace-summary.csv</x:v>
      </x:c>
      <x:c r="K115" s="30" t="str"/>
      <x:c r="L115" s="32" t="n">
        <x:v>46254.5</x:v>
      </x:c>
      <x:c r="M115" s="32" t="n">
        <x:v>46254.5</x:v>
      </x:c>
      <x:c r="N115" s="31" t="n">
        <x:f>SUMIF('Posting Splits'!$B$2:$B$147,A115,'Posting Splits'!$D$2:$D$147)</x:f>
        <x:v>760000</x:v>
      </x:c>
      <x:c r="O115" s="30" t="str">
        <x:f>IF(G115="POSTED",IF(E115=N115,"OK","FAIL"),"N/A")</x:f>
        <x:v>OK</x:v>
      </x:c>
    </x:row>
    <x:row r="116">
      <x:c r="A116" s="30" t="str">
        <x:v>txn-0115</x:v>
      </x:c>
      <x:c r="B116" s="30" t="str">
        <x:v>fin-marketplace</x:v>
      </x:c>
      <x:c r="C116" s="32" t="n">
        <x:v>46112</x:v>
      </x:c>
      <x:c r="D116" s="34" t="n">
        <x:v>-380</x:v>
      </x:c>
      <x:c r="E116" s="31" t="n">
        <x:v>-38000</x:v>
      </x:c>
      <x:c r="F116" s="30" t="str">
        <x:v>Refunds</x:v>
      </x:c>
      <x:c r="G116" s="30" t="str">
        <x:v>POSTED</x:v>
      </x:c>
      <x:c r="H116" s="30" t="str">
        <x:v>MANUAL</x:v>
      </x:c>
      <x:c r="I116" s="30" t="str"/>
      <x:c r="J116" s="30" t="str">
        <x:v>imports/2026/marketplace-summary.csv</x:v>
      </x:c>
      <x:c r="K116" s="30" t="str"/>
      <x:c r="L116" s="32" t="n">
        <x:v>46254.5</x:v>
      </x:c>
      <x:c r="M116" s="32" t="n">
        <x:v>46254.5</x:v>
      </x:c>
      <x:c r="N116" s="31" t="n">
        <x:f>SUMIF('Posting Splits'!$B$2:$B$147,A116,'Posting Splits'!$D$2:$D$147)</x:f>
        <x:v>-38000</x:v>
      </x:c>
      <x:c r="O116" s="30" t="str">
        <x:f>IF(G116="POSTED",IF(E116=N116,"OK","FAIL"),"N/A")</x:f>
        <x:v>OK</x:v>
      </x:c>
    </x:row>
    <x:row r="117">
      <x:c r="A117" s="30" t="str">
        <x:v>txn-0116</x:v>
      </x:c>
      <x:c r="B117" s="30" t="str">
        <x:v>fin-marketplace</x:v>
      </x:c>
      <x:c r="C117" s="32" t="n">
        <x:v>46112</x:v>
      </x:c>
      <x:c r="D117" s="34" t="n">
        <x:v>83.6</x:v>
      </x:c>
      <x:c r="E117" s="31" t="n">
        <x:v>8360</x:v>
      </x:c>
      <x:c r="F117" s="30" t="str">
        <x:v>ShippingCharge</x:v>
      </x:c>
      <x:c r="G117" s="30" t="str">
        <x:v>POSTED</x:v>
      </x:c>
      <x:c r="H117" s="30" t="str">
        <x:v>MANUAL</x:v>
      </x:c>
      <x:c r="I117" s="30" t="str"/>
      <x:c r="J117" s="30" t="str">
        <x:v>imports/2026/marketplace-summary.csv</x:v>
      </x:c>
      <x:c r="K117" s="30" t="str"/>
      <x:c r="L117" s="32" t="n">
        <x:v>46254.5</x:v>
      </x:c>
      <x:c r="M117" s="32" t="n">
        <x:v>46254.5</x:v>
      </x:c>
      <x:c r="N117" s="31" t="n">
        <x:f>SUMIF('Posting Splits'!$B$2:$B$147,A117,'Posting Splits'!$D$2:$D$147)</x:f>
        <x:v>8360</x:v>
      </x:c>
      <x:c r="O117" s="30" t="str">
        <x:f>IF(G117="POSTED",IF(E117=N117,"OK","FAIL"),"N/A")</x:f>
        <x:v>OK</x:v>
      </x:c>
    </x:row>
    <x:row r="118">
      <x:c r="A118" s="30" t="str">
        <x:v>txn-0117</x:v>
      </x:c>
      <x:c r="B118" s="30" t="str">
        <x:v>fin-marketplace</x:v>
      </x:c>
      <x:c r="C118" s="32" t="n">
        <x:v>46112</x:v>
      </x:c>
      <x:c r="D118" s="34" t="n">
        <x:v>-1140</x:v>
      </x:c>
      <x:c r="E118" s="31" t="n">
        <x:v>-114000</x:v>
      </x:c>
      <x:c r="F118" s="30" t="str">
        <x:v>Commission</x:v>
      </x:c>
      <x:c r="G118" s="30" t="str">
        <x:v>POSTED</x:v>
      </x:c>
      <x:c r="H118" s="30" t="str">
        <x:v>MANUAL</x:v>
      </x:c>
      <x:c r="I118" s="30" t="str"/>
      <x:c r="J118" s="30" t="str">
        <x:v>imports/2026/marketplace-summary.csv</x:v>
      </x:c>
      <x:c r="K118" s="30" t="str"/>
      <x:c r="L118" s="32" t="n">
        <x:v>46254.5</x:v>
      </x:c>
      <x:c r="M118" s="32" t="n">
        <x:v>46254.5</x:v>
      </x:c>
      <x:c r="N118" s="31" t="n">
        <x:f>SUMIF('Posting Splits'!$B$2:$B$147,A118,'Posting Splits'!$D$2:$D$147)</x:f>
        <x:v>-114000</x:v>
      </x:c>
      <x:c r="O118" s="30" t="str">
        <x:f>IF(G118="POSTED",IF(E118=N118,"OK","FAIL"),"N/A")</x:f>
        <x:v>OK</x:v>
      </x:c>
    </x:row>
    <x:row r="119">
      <x:c r="A119" s="30" t="str">
        <x:v>txn-0118</x:v>
      </x:c>
      <x:c r="B119" s="30" t="str">
        <x:v>fin-marketplace</x:v>
      </x:c>
      <x:c r="C119" s="32" t="n">
        <x:v>46112</x:v>
      </x:c>
      <x:c r="D119" s="34" t="n">
        <x:v>-1710</x:v>
      </x:c>
      <x:c r="E119" s="31" t="n">
        <x:v>-171000</x:v>
      </x:c>
      <x:c r="F119" s="30" t="str">
        <x:v>FBAPerUnitFulfillmentFee</x:v>
      </x:c>
      <x:c r="G119" s="30" t="str">
        <x:v>POSTED</x:v>
      </x:c>
      <x:c r="H119" s="30" t="str">
        <x:v>MANUAL</x:v>
      </x:c>
      <x:c r="I119" s="30" t="str"/>
      <x:c r="J119" s="30" t="str">
        <x:v>imports/2026/marketplace-summary.csv</x:v>
      </x:c>
      <x:c r="K119" s="30" t="str"/>
      <x:c r="L119" s="32" t="n">
        <x:v>46254.5</x:v>
      </x:c>
      <x:c r="M119" s="32" t="n">
        <x:v>46254.5</x:v>
      </x:c>
      <x:c r="N119" s="31" t="n">
        <x:f>SUMIF('Posting Splits'!$B$2:$B$147,A119,'Posting Splits'!$D$2:$D$147)</x:f>
        <x:v>-171000</x:v>
      </x:c>
      <x:c r="O119" s="30" t="str">
        <x:f>IF(G119="POSTED",IF(E119=N119,"OK","FAIL"),"N/A")</x:f>
        <x:v>OK</x:v>
      </x:c>
    </x:row>
    <x:row r="120">
      <x:c r="A120" s="30" t="str">
        <x:v>txn-0119</x:v>
      </x:c>
      <x:c r="B120" s="30" t="str">
        <x:v>fin-marketplace</x:v>
      </x:c>
      <x:c r="C120" s="32" t="n">
        <x:v>46112</x:v>
      </x:c>
      <x:c r="D120" s="34" t="n">
        <x:v>-153</x:v>
      </x:c>
      <x:c r="E120" s="31" t="n">
        <x:v>-15300</x:v>
      </x:c>
      <x:c r="F120" s="30" t="str">
        <x:v>FBAStorageFee</x:v>
      </x:c>
      <x:c r="G120" s="30" t="str">
        <x:v>POSTED</x:v>
      </x:c>
      <x:c r="H120" s="30" t="str">
        <x:v>MANUAL</x:v>
      </x:c>
      <x:c r="I120" s="30" t="str"/>
      <x:c r="J120" s="30" t="str">
        <x:v>imports/2026/marketplace-summary.csv</x:v>
      </x:c>
      <x:c r="K120" s="30" t="str"/>
      <x:c r="L120" s="32" t="n">
        <x:v>46254.5</x:v>
      </x:c>
      <x:c r="M120" s="32" t="n">
        <x:v>46254.5</x:v>
      </x:c>
      <x:c r="N120" s="31" t="n">
        <x:f>SUMIF('Posting Splits'!$B$2:$B$147,A120,'Posting Splits'!$D$2:$D$147)</x:f>
        <x:v>-15300</x:v>
      </x:c>
      <x:c r="O120" s="30" t="str">
        <x:f>IF(G120="POSTED",IF(E120=N120,"OK","FAIL"),"N/A")</x:f>
        <x:v>OK</x:v>
      </x:c>
    </x:row>
    <x:row r="121">
      <x:c r="A121" s="30" t="str">
        <x:v>txn-0120</x:v>
      </x:c>
      <x:c r="B121" s="30" t="str">
        <x:v>fin-marketplace</x:v>
      </x:c>
      <x:c r="C121" s="32" t="n">
        <x:v>46112</x:v>
      </x:c>
      <x:c r="D121" s="34" t="n">
        <x:v>-4300.6</x:v>
      </x:c>
      <x:c r="E121" s="31" t="n">
        <x:v>-430060</x:v>
      </x:c>
      <x:c r="F121" s="30" t="str">
        <x:v>Marketplace payout 2026-03</x:v>
      </x:c>
      <x:c r="G121" s="30" t="str">
        <x:v>MATCHED_TRANSFER</x:v>
      </x:c>
      <x:c r="H121" s="30" t="str">
        <x:v>TRANSFER</x:v>
      </x:c>
      <x:c r="I121" s="30" t="str">
        <x:v>transfer-0015</x:v>
      </x:c>
      <x:c r="J121" s="30" t="str">
        <x:v>imports/2026/marketplace-transfers.csv</x:v>
      </x:c>
      <x:c r="K121" s="30" t="str"/>
      <x:c r="L121" s="32" t="n">
        <x:v>46254.5</x:v>
      </x:c>
      <x:c r="M121" s="32" t="n">
        <x:v>46254.5</x:v>
      </x:c>
      <x:c r="N121" s="31" t="n">
        <x:f>SUMIF('Posting Splits'!$B$2:$B$147,A121,'Posting Splits'!$D$2:$D$147)</x:f>
        <x:v>0</x:v>
      </x:c>
      <x:c r="O121" s="30" t="str">
        <x:f>IF(G121="POSTED",IF(E121=N121,"OK","FAIL"),"N/A")</x:f>
        <x:v>N/A</x:v>
      </x:c>
    </x:row>
    <x:row r="122">
      <x:c r="A122" s="30" t="str">
        <x:v>txn-0121</x:v>
      </x:c>
      <x:c r="B122" s="30" t="str">
        <x:v>fin-bank-operating</x:v>
      </x:c>
      <x:c r="C122" s="32" t="n">
        <x:v>46112</x:v>
      </x:c>
      <x:c r="D122" s="34" t="n">
        <x:v>4300.6</x:v>
      </x:c>
      <x:c r="E122" s="31" t="n">
        <x:v>430060</x:v>
      </x:c>
      <x:c r="F122" s="30" t="str">
        <x:v>Marketplace deposit 2026-03</x:v>
      </x:c>
      <x:c r="G122" s="30" t="str">
        <x:v>MATCHED_TRANSFER</x:v>
      </x:c>
      <x:c r="H122" s="30" t="str">
        <x:v>TRANSFER</x:v>
      </x:c>
      <x:c r="I122" s="30" t="str">
        <x:v>transfer-0015</x:v>
      </x:c>
      <x:c r="J122" s="30" t="str">
        <x:v>imports/2026/operating-checking.qbo</x:v>
      </x:c>
      <x:c r="K122" s="30" t="str"/>
      <x:c r="L122" s="32" t="n">
        <x:v>46254.5</x:v>
      </x:c>
      <x:c r="M122" s="32" t="n">
        <x:v>46254.5</x:v>
      </x:c>
      <x:c r="N122" s="31" t="n">
        <x:f>SUMIF('Posting Splits'!$B$2:$B$147,A122,'Posting Splits'!$D$2:$D$147)</x:f>
        <x:v>0</x:v>
      </x:c>
      <x:c r="O122" s="30" t="str">
        <x:f>IF(G122="POSTED",IF(E122=N122,"OK","FAIL"),"N/A")</x:f>
        <x:v>N/A</x:v>
      </x:c>
    </x:row>
    <x:row r="123">
      <x:c r="A123" s="30" t="str">
        <x:v>txn-0122</x:v>
      </x:c>
      <x:c r="B123" s="30" t="str">
        <x:v>fin-marketplace</x:v>
      </x:c>
      <x:c r="C123" s="32" t="n">
        <x:v>46142</x:v>
      </x:c>
      <x:c r="D123" s="34" t="n">
        <x:v>4100</x:v>
      </x:c>
      <x:c r="E123" s="31" t="n">
        <x:v>410000</x:v>
      </x:c>
      <x:c r="F123" s="30" t="str">
        <x:v>Product Charges</x:v>
      </x:c>
      <x:c r="G123" s="30" t="str">
        <x:v>POSTED</x:v>
      </x:c>
      <x:c r="H123" s="30" t="str">
        <x:v>MANUAL</x:v>
      </x:c>
      <x:c r="I123" s="30" t="str"/>
      <x:c r="J123" s="30" t="str">
        <x:v>imports/2026/marketplace-summary.csv</x:v>
      </x:c>
      <x:c r="K123" s="30" t="str"/>
      <x:c r="L123" s="32" t="n">
        <x:v>46254.5</x:v>
      </x:c>
      <x:c r="M123" s="32" t="n">
        <x:v>46254.5</x:v>
      </x:c>
      <x:c r="N123" s="31" t="n">
        <x:f>SUMIF('Posting Splits'!$B$2:$B$147,A123,'Posting Splits'!$D$2:$D$147)</x:f>
        <x:v>410000</x:v>
      </x:c>
      <x:c r="O123" s="30" t="str">
        <x:f>IF(G123="POSTED",IF(E123=N123,"OK","FAIL"),"N/A")</x:f>
        <x:v>OK</x:v>
      </x:c>
    </x:row>
    <x:row r="124">
      <x:c r="A124" s="30" t="str">
        <x:v>txn-0123</x:v>
      </x:c>
      <x:c r="B124" s="30" t="str">
        <x:v>fin-marketplace</x:v>
      </x:c>
      <x:c r="C124" s="32" t="n">
        <x:v>46142</x:v>
      </x:c>
      <x:c r="D124" s="34" t="n">
        <x:v>-266.5</x:v>
      </x:c>
      <x:c r="E124" s="31" t="n">
        <x:v>-26650</x:v>
      </x:c>
      <x:c r="F124" s="30" t="str">
        <x:v>Refunds</x:v>
      </x:c>
      <x:c r="G124" s="30" t="str">
        <x:v>POSTED</x:v>
      </x:c>
      <x:c r="H124" s="30" t="str">
        <x:v>MANUAL</x:v>
      </x:c>
      <x:c r="I124" s="30" t="str"/>
      <x:c r="J124" s="30" t="str">
        <x:v>imports/2026/marketplace-summary.csv</x:v>
      </x:c>
      <x:c r="K124" s="30" t="str"/>
      <x:c r="L124" s="32" t="n">
        <x:v>46254.5</x:v>
      </x:c>
      <x:c r="M124" s="32" t="n">
        <x:v>46254.5</x:v>
      </x:c>
      <x:c r="N124" s="31" t="n">
        <x:f>SUMIF('Posting Splits'!$B$2:$B$147,A124,'Posting Splits'!$D$2:$D$147)</x:f>
        <x:v>-26650</x:v>
      </x:c>
      <x:c r="O124" s="30" t="str">
        <x:f>IF(G124="POSTED",IF(E124=N124,"OK","FAIL"),"N/A")</x:f>
        <x:v>OK</x:v>
      </x:c>
    </x:row>
    <x:row r="125">
      <x:c r="A125" s="30" t="str">
        <x:v>txn-0124</x:v>
      </x:c>
      <x:c r="B125" s="30" t="str">
        <x:v>fin-marketplace</x:v>
      </x:c>
      <x:c r="C125" s="32" t="n">
        <x:v>46142</x:v>
      </x:c>
      <x:c r="D125" s="34" t="n">
        <x:v>45.1</x:v>
      </x:c>
      <x:c r="E125" s="31" t="n">
        <x:v>4510</x:v>
      </x:c>
      <x:c r="F125" s="30" t="str">
        <x:v>ShippingCharge</x:v>
      </x:c>
      <x:c r="G125" s="30" t="str">
        <x:v>POSTED</x:v>
      </x:c>
      <x:c r="H125" s="30" t="str">
        <x:v>MANUAL</x:v>
      </x:c>
      <x:c r="I125" s="30" t="str"/>
      <x:c r="J125" s="30" t="str">
        <x:v>imports/2026/marketplace-summary.csv</x:v>
      </x:c>
      <x:c r="K125" s="30" t="str"/>
      <x:c r="L125" s="32" t="n">
        <x:v>46254.5</x:v>
      </x:c>
      <x:c r="M125" s="32" t="n">
        <x:v>46254.5</x:v>
      </x:c>
      <x:c r="N125" s="31" t="n">
        <x:f>SUMIF('Posting Splits'!$B$2:$B$147,A125,'Posting Splits'!$D$2:$D$147)</x:f>
        <x:v>4510</x:v>
      </x:c>
      <x:c r="O125" s="30" t="str">
        <x:f>IF(G125="POSTED",IF(E125=N125,"OK","FAIL"),"N/A")</x:f>
        <x:v>OK</x:v>
      </x:c>
    </x:row>
    <x:row r="126">
      <x:c r="A126" s="30" t="str">
        <x:v>txn-0125</x:v>
      </x:c>
      <x:c r="B126" s="30" t="str">
        <x:v>fin-marketplace</x:v>
      </x:c>
      <x:c r="C126" s="32" t="n">
        <x:v>46142</x:v>
      </x:c>
      <x:c r="D126" s="34" t="n">
        <x:v>-615</x:v>
      </x:c>
      <x:c r="E126" s="31" t="n">
        <x:v>-61500</x:v>
      </x:c>
      <x:c r="F126" s="30" t="str">
        <x:v>Commission</x:v>
      </x:c>
      <x:c r="G126" s="30" t="str">
        <x:v>POSTED</x:v>
      </x:c>
      <x:c r="H126" s="30" t="str">
        <x:v>MANUAL</x:v>
      </x:c>
      <x:c r="I126" s="30" t="str"/>
      <x:c r="J126" s="30" t="str">
        <x:v>imports/2026/marketplace-summary.csv</x:v>
      </x:c>
      <x:c r="K126" s="30" t="str"/>
      <x:c r="L126" s="32" t="n">
        <x:v>46254.5</x:v>
      </x:c>
      <x:c r="M126" s="32" t="n">
        <x:v>46254.5</x:v>
      </x:c>
      <x:c r="N126" s="31" t="n">
        <x:f>SUMIF('Posting Splits'!$B$2:$B$147,A126,'Posting Splits'!$D$2:$D$147)</x:f>
        <x:v>-61500</x:v>
      </x:c>
      <x:c r="O126" s="30" t="str">
        <x:f>IF(G126="POSTED",IF(E126=N126,"OK","FAIL"),"N/A")</x:f>
        <x:v>OK</x:v>
      </x:c>
    </x:row>
    <x:row r="127">
      <x:c r="A127" s="30" t="str">
        <x:v>txn-0126</x:v>
      </x:c>
      <x:c r="B127" s="30" t="str">
        <x:v>fin-marketplace</x:v>
      </x:c>
      <x:c r="C127" s="32" t="n">
        <x:v>46142</x:v>
      </x:c>
      <x:c r="D127" s="34" t="n">
        <x:v>-861</x:v>
      </x:c>
      <x:c r="E127" s="31" t="n">
        <x:v>-86100</x:v>
      </x:c>
      <x:c r="F127" s="30" t="str">
        <x:v>FBAPerUnitFulfillmentFee</x:v>
      </x:c>
      <x:c r="G127" s="30" t="str">
        <x:v>POSTED</x:v>
      </x:c>
      <x:c r="H127" s="30" t="str">
        <x:v>MANUAL</x:v>
      </x:c>
      <x:c r="I127" s="30" t="str"/>
      <x:c r="J127" s="30" t="str">
        <x:v>imports/2026/marketplace-summary.csv</x:v>
      </x:c>
      <x:c r="K127" s="30" t="str"/>
      <x:c r="L127" s="32" t="n">
        <x:v>46254.5</x:v>
      </x:c>
      <x:c r="M127" s="32" t="n">
        <x:v>46254.5</x:v>
      </x:c>
      <x:c r="N127" s="31" t="n">
        <x:f>SUMIF('Posting Splits'!$B$2:$B$147,A127,'Posting Splits'!$D$2:$D$147)</x:f>
        <x:v>-86100</x:v>
      </x:c>
      <x:c r="O127" s="30" t="str">
        <x:f>IF(G127="POSTED",IF(E127=N127,"OK","FAIL"),"N/A")</x:f>
        <x:v>OK</x:v>
      </x:c>
    </x:row>
    <x:row r="128">
      <x:c r="A128" s="30" t="str">
        <x:v>txn-0127</x:v>
      </x:c>
      <x:c r="B128" s="30" t="str">
        <x:v>fin-marketplace</x:v>
      </x:c>
      <x:c r="C128" s="32" t="n">
        <x:v>46142</x:v>
      </x:c>
      <x:c r="D128" s="34" t="n">
        <x:v>-164</x:v>
      </x:c>
      <x:c r="E128" s="31" t="n">
        <x:v>-16400</x:v>
      </x:c>
      <x:c r="F128" s="30" t="str">
        <x:v>FBAStorageFee</x:v>
      </x:c>
      <x:c r="G128" s="30" t="str">
        <x:v>POSTED</x:v>
      </x:c>
      <x:c r="H128" s="30" t="str">
        <x:v>MANUAL</x:v>
      </x:c>
      <x:c r="I128" s="30" t="str"/>
      <x:c r="J128" s="30" t="str">
        <x:v>imports/2026/marketplace-summary.csv</x:v>
      </x:c>
      <x:c r="K128" s="30" t="str"/>
      <x:c r="L128" s="32" t="n">
        <x:v>46254.5</x:v>
      </x:c>
      <x:c r="M128" s="32" t="n">
        <x:v>46254.5</x:v>
      </x:c>
      <x:c r="N128" s="31" t="n">
        <x:f>SUMIF('Posting Splits'!$B$2:$B$147,A128,'Posting Splits'!$D$2:$D$147)</x:f>
        <x:v>-16400</x:v>
      </x:c>
      <x:c r="O128" s="30" t="str">
        <x:f>IF(G128="POSTED",IF(E128=N128,"OK","FAIL"),"N/A")</x:f>
        <x:v>OK</x:v>
      </x:c>
    </x:row>
    <x:row r="129">
      <x:c r="A129" s="30" t="str">
        <x:v>txn-0128</x:v>
      </x:c>
      <x:c r="B129" s="30" t="str">
        <x:v>fin-marketplace</x:v>
      </x:c>
      <x:c r="C129" s="32" t="n">
        <x:v>46142</x:v>
      </x:c>
      <x:c r="D129" s="34" t="n">
        <x:v>-2238.6</x:v>
      </x:c>
      <x:c r="E129" s="31" t="n">
        <x:v>-223860</x:v>
      </x:c>
      <x:c r="F129" s="30" t="str">
        <x:v>Marketplace payout 2026-04</x:v>
      </x:c>
      <x:c r="G129" s="30" t="str">
        <x:v>MATCHED_TRANSFER</x:v>
      </x:c>
      <x:c r="H129" s="30" t="str">
        <x:v>TRANSFER</x:v>
      </x:c>
      <x:c r="I129" s="30" t="str">
        <x:v>transfer-0016</x:v>
      </x:c>
      <x:c r="J129" s="30" t="str">
        <x:v>imports/2026/marketplace-transfers.csv</x:v>
      </x:c>
      <x:c r="K129" s="30" t="str"/>
      <x:c r="L129" s="32" t="n">
        <x:v>46254.5</x:v>
      </x:c>
      <x:c r="M129" s="32" t="n">
        <x:v>46254.5</x:v>
      </x:c>
      <x:c r="N129" s="31" t="n">
        <x:f>SUMIF('Posting Splits'!$B$2:$B$147,A129,'Posting Splits'!$D$2:$D$147)</x:f>
        <x:v>0</x:v>
      </x:c>
      <x:c r="O129" s="30" t="str">
        <x:f>IF(G129="POSTED",IF(E129=N129,"OK","FAIL"),"N/A")</x:f>
        <x:v>N/A</x:v>
      </x:c>
    </x:row>
    <x:row r="130">
      <x:c r="A130" s="30" t="str">
        <x:v>txn-0129</x:v>
      </x:c>
      <x:c r="B130" s="30" t="str">
        <x:v>fin-bank-operating</x:v>
      </x:c>
      <x:c r="C130" s="32" t="n">
        <x:v>46142</x:v>
      </x:c>
      <x:c r="D130" s="34" t="n">
        <x:v>2238.6</x:v>
      </x:c>
      <x:c r="E130" s="31" t="n">
        <x:v>223860</x:v>
      </x:c>
      <x:c r="F130" s="30" t="str">
        <x:v>Marketplace deposit 2026-04</x:v>
      </x:c>
      <x:c r="G130" s="30" t="str">
        <x:v>MATCHED_TRANSFER</x:v>
      </x:c>
      <x:c r="H130" s="30" t="str">
        <x:v>TRANSFER</x:v>
      </x:c>
      <x:c r="I130" s="30" t="str">
        <x:v>transfer-0016</x:v>
      </x:c>
      <x:c r="J130" s="30" t="str">
        <x:v>imports/2026/operating-checking.qbo</x:v>
      </x:c>
      <x:c r="K130" s="30" t="str"/>
      <x:c r="L130" s="32" t="n">
        <x:v>46254.5</x:v>
      </x:c>
      <x:c r="M130" s="32" t="n">
        <x:v>46254.5</x:v>
      </x:c>
      <x:c r="N130" s="31" t="n">
        <x:f>SUMIF('Posting Splits'!$B$2:$B$147,A130,'Posting Splits'!$D$2:$D$147)</x:f>
        <x:v>0</x:v>
      </x:c>
      <x:c r="O130" s="30" t="str">
        <x:f>IF(G130="POSTED",IF(E130=N130,"OK","FAIL"),"N/A")</x:f>
        <x:v>N/A</x:v>
      </x:c>
    </x:row>
    <x:row r="131">
      <x:c r="A131" s="30" t="str">
        <x:v>txn-0130</x:v>
      </x:c>
      <x:c r="B131" s="30" t="str">
        <x:v>fin-marketplace</x:v>
      </x:c>
      <x:c r="C131" s="32" t="n">
        <x:v>46173</x:v>
      </x:c>
      <x:c r="D131" s="34" t="n">
        <x:v>6900</x:v>
      </x:c>
      <x:c r="E131" s="31" t="n">
        <x:v>690000</x:v>
      </x:c>
      <x:c r="F131" s="30" t="str">
        <x:v>Product Charges</x:v>
      </x:c>
      <x:c r="G131" s="30" t="str">
        <x:v>POSTED</x:v>
      </x:c>
      <x:c r="H131" s="30" t="str">
        <x:v>MANUAL</x:v>
      </x:c>
      <x:c r="I131" s="30" t="str"/>
      <x:c r="J131" s="30" t="str">
        <x:v>imports/2026/marketplace-summary.csv</x:v>
      </x:c>
      <x:c r="K131" s="30" t="str"/>
      <x:c r="L131" s="32" t="n">
        <x:v>46254.5</x:v>
      </x:c>
      <x:c r="M131" s="32" t="n">
        <x:v>46254.5</x:v>
      </x:c>
      <x:c r="N131" s="31" t="n">
        <x:f>SUMIF('Posting Splits'!$B$2:$B$147,A131,'Posting Splits'!$D$2:$D$147)</x:f>
        <x:v>690000</x:v>
      </x:c>
      <x:c r="O131" s="30" t="str">
        <x:f>IF(G131="POSTED",IF(E131=N131,"OK","FAIL"),"N/A")</x:f>
        <x:v>OK</x:v>
      </x:c>
    </x:row>
    <x:row r="132">
      <x:c r="A132" s="30" t="str">
        <x:v>txn-0131</x:v>
      </x:c>
      <x:c r="B132" s="30" t="str">
        <x:v>fin-marketplace</x:v>
      </x:c>
      <x:c r="C132" s="32" t="n">
        <x:v>46173</x:v>
      </x:c>
      <x:c r="D132" s="34" t="n">
        <x:v>-345</x:v>
      </x:c>
      <x:c r="E132" s="31" t="n">
        <x:v>-34500</x:v>
      </x:c>
      <x:c r="F132" s="30" t="str">
        <x:v>Refunds</x:v>
      </x:c>
      <x:c r="G132" s="30" t="str">
        <x:v>POSTED</x:v>
      </x:c>
      <x:c r="H132" s="30" t="str">
        <x:v>MANUAL</x:v>
      </x:c>
      <x:c r="I132" s="30" t="str"/>
      <x:c r="J132" s="30" t="str">
        <x:v>imports/2026/marketplace-summary.csv</x:v>
      </x:c>
      <x:c r="K132" s="30" t="str"/>
      <x:c r="L132" s="32" t="n">
        <x:v>46254.5</x:v>
      </x:c>
      <x:c r="M132" s="32" t="n">
        <x:v>46254.5</x:v>
      </x:c>
      <x:c r="N132" s="31" t="n">
        <x:f>SUMIF('Posting Splits'!$B$2:$B$147,A132,'Posting Splits'!$D$2:$D$147)</x:f>
        <x:v>-34500</x:v>
      </x:c>
      <x:c r="O132" s="30" t="str">
        <x:f>IF(G132="POSTED",IF(E132=N132,"OK","FAIL"),"N/A")</x:f>
        <x:v>OK</x:v>
      </x:c>
    </x:row>
    <x:row r="133">
      <x:c r="A133" s="30" t="str">
        <x:v>txn-0132</x:v>
      </x:c>
      <x:c r="B133" s="30" t="str">
        <x:v>fin-marketplace</x:v>
      </x:c>
      <x:c r="C133" s="32" t="n">
        <x:v>46173</x:v>
      </x:c>
      <x:c r="D133" s="34" t="n">
        <x:v>75.9</x:v>
      </x:c>
      <x:c r="E133" s="31" t="n">
        <x:v>7590</x:v>
      </x:c>
      <x:c r="F133" s="30" t="str">
        <x:v>ShippingCharge</x:v>
      </x:c>
      <x:c r="G133" s="30" t="str">
        <x:v>POSTED</x:v>
      </x:c>
      <x:c r="H133" s="30" t="str">
        <x:v>MANUAL</x:v>
      </x:c>
      <x:c r="I133" s="30" t="str"/>
      <x:c r="J133" s="30" t="str">
        <x:v>imports/2026/marketplace-summary.csv</x:v>
      </x:c>
      <x:c r="K133" s="30" t="str"/>
      <x:c r="L133" s="32" t="n">
        <x:v>46254.5</x:v>
      </x:c>
      <x:c r="M133" s="32" t="n">
        <x:v>46254.5</x:v>
      </x:c>
      <x:c r="N133" s="31" t="n">
        <x:f>SUMIF('Posting Splits'!$B$2:$B$147,A133,'Posting Splits'!$D$2:$D$147)</x:f>
        <x:v>7590</x:v>
      </x:c>
      <x:c r="O133" s="30" t="str">
        <x:f>IF(G133="POSTED",IF(E133=N133,"OK","FAIL"),"N/A")</x:f>
        <x:v>OK</x:v>
      </x:c>
    </x:row>
    <x:row r="134">
      <x:c r="A134" s="30" t="str">
        <x:v>txn-0133</x:v>
      </x:c>
      <x:c r="B134" s="30" t="str">
        <x:v>fin-marketplace</x:v>
      </x:c>
      <x:c r="C134" s="32" t="n">
        <x:v>46173</x:v>
      </x:c>
      <x:c r="D134" s="34" t="n">
        <x:v>-1035</x:v>
      </x:c>
      <x:c r="E134" s="31" t="n">
        <x:v>-103500</x:v>
      </x:c>
      <x:c r="F134" s="30" t="str">
        <x:v>Commission</x:v>
      </x:c>
      <x:c r="G134" s="30" t="str">
        <x:v>POSTED</x:v>
      </x:c>
      <x:c r="H134" s="30" t="str">
        <x:v>MANUAL</x:v>
      </x:c>
      <x:c r="I134" s="30" t="str"/>
      <x:c r="J134" s="30" t="str">
        <x:v>imports/2026/marketplace-summary.csv</x:v>
      </x:c>
      <x:c r="K134" s="30" t="str"/>
      <x:c r="L134" s="32" t="n">
        <x:v>46254.5</x:v>
      </x:c>
      <x:c r="M134" s="32" t="n">
        <x:v>46254.5</x:v>
      </x:c>
      <x:c r="N134" s="31" t="n">
        <x:f>SUMIF('Posting Splits'!$B$2:$B$147,A134,'Posting Splits'!$D$2:$D$147)</x:f>
        <x:v>-103500</x:v>
      </x:c>
      <x:c r="O134" s="30" t="str">
        <x:f>IF(G134="POSTED",IF(E134=N134,"OK","FAIL"),"N/A")</x:f>
        <x:v>OK</x:v>
      </x:c>
    </x:row>
    <x:row r="135">
      <x:c r="A135" s="30" t="str">
        <x:v>txn-0134</x:v>
      </x:c>
      <x:c r="B135" s="30" t="str">
        <x:v>fin-marketplace</x:v>
      </x:c>
      <x:c r="C135" s="32" t="n">
        <x:v>46173</x:v>
      </x:c>
      <x:c r="D135" s="34" t="n">
        <x:v>-1449</x:v>
      </x:c>
      <x:c r="E135" s="31" t="n">
        <x:v>-144900</x:v>
      </x:c>
      <x:c r="F135" s="30" t="str">
        <x:v>FBAPerUnitFulfillmentFee</x:v>
      </x:c>
      <x:c r="G135" s="30" t="str">
        <x:v>POSTED</x:v>
      </x:c>
      <x:c r="H135" s="30" t="str">
        <x:v>MANUAL</x:v>
      </x:c>
      <x:c r="I135" s="30" t="str"/>
      <x:c r="J135" s="30" t="str">
        <x:v>imports/2026/marketplace-summary.csv</x:v>
      </x:c>
      <x:c r="K135" s="30" t="str"/>
      <x:c r="L135" s="32" t="n">
        <x:v>46254.5</x:v>
      </x:c>
      <x:c r="M135" s="32" t="n">
        <x:v>46254.5</x:v>
      </x:c>
      <x:c r="N135" s="31" t="n">
        <x:f>SUMIF('Posting Splits'!$B$2:$B$147,A135,'Posting Splits'!$D$2:$D$147)</x:f>
        <x:v>-144900</x:v>
      </x:c>
      <x:c r="O135" s="30" t="str">
        <x:f>IF(G135="POSTED",IF(E135=N135,"OK","FAIL"),"N/A")</x:f>
        <x:v>OK</x:v>
      </x:c>
    </x:row>
    <x:row r="136">
      <x:c r="A136" s="30" t="str">
        <x:v>txn-0135</x:v>
      </x:c>
      <x:c r="B136" s="30" t="str">
        <x:v>fin-marketplace</x:v>
      </x:c>
      <x:c r="C136" s="32" t="n">
        <x:v>46173</x:v>
      </x:c>
      <x:c r="D136" s="34" t="n">
        <x:v>-175</x:v>
      </x:c>
      <x:c r="E136" s="31" t="n">
        <x:v>-17500</x:v>
      </x:c>
      <x:c r="F136" s="30" t="str">
        <x:v>FBAStorageFee</x:v>
      </x:c>
      <x:c r="G136" s="30" t="str">
        <x:v>POSTED</x:v>
      </x:c>
      <x:c r="H136" s="30" t="str">
        <x:v>MANUAL</x:v>
      </x:c>
      <x:c r="I136" s="30" t="str"/>
      <x:c r="J136" s="30" t="str">
        <x:v>imports/2026/marketplace-summary.csv</x:v>
      </x:c>
      <x:c r="K136" s="30" t="str"/>
      <x:c r="L136" s="32" t="n">
        <x:v>46254.5</x:v>
      </x:c>
      <x:c r="M136" s="32" t="n">
        <x:v>46254.5</x:v>
      </x:c>
      <x:c r="N136" s="31" t="n">
        <x:f>SUMIF('Posting Splits'!$B$2:$B$147,A136,'Posting Splits'!$D$2:$D$147)</x:f>
        <x:v>-17500</x:v>
      </x:c>
      <x:c r="O136" s="30" t="str">
        <x:f>IF(G136="POSTED",IF(E136=N136,"OK","FAIL"),"N/A")</x:f>
        <x:v>OK</x:v>
      </x:c>
    </x:row>
    <x:row r="137">
      <x:c r="A137" s="30" t="str">
        <x:v>txn-0136</x:v>
      </x:c>
      <x:c r="B137" s="30" t="str">
        <x:v>fin-marketplace</x:v>
      </x:c>
      <x:c r="C137" s="32" t="n">
        <x:v>46173</x:v>
      </x:c>
      <x:c r="D137" s="34" t="n">
        <x:v>-3971.9</x:v>
      </x:c>
      <x:c r="E137" s="31" t="n">
        <x:v>-397190</x:v>
      </x:c>
      <x:c r="F137" s="30" t="str">
        <x:v>Marketplace payout 2026-05</x:v>
      </x:c>
      <x:c r="G137" s="30" t="str">
        <x:v>MATCHED_TRANSFER</x:v>
      </x:c>
      <x:c r="H137" s="30" t="str">
        <x:v>TRANSFER</x:v>
      </x:c>
      <x:c r="I137" s="30" t="str">
        <x:v>transfer-0017</x:v>
      </x:c>
      <x:c r="J137" s="30" t="str">
        <x:v>imports/2026/marketplace-transfers.csv</x:v>
      </x:c>
      <x:c r="K137" s="30" t="str"/>
      <x:c r="L137" s="32" t="n">
        <x:v>46254.5</x:v>
      </x:c>
      <x:c r="M137" s="32" t="n">
        <x:v>46254.5</x:v>
      </x:c>
      <x:c r="N137" s="31" t="n">
        <x:f>SUMIF('Posting Splits'!$B$2:$B$147,A137,'Posting Splits'!$D$2:$D$147)</x:f>
        <x:v>0</x:v>
      </x:c>
      <x:c r="O137" s="30" t="str">
        <x:f>IF(G137="POSTED",IF(E137=N137,"OK","FAIL"),"N/A")</x:f>
        <x:v>N/A</x:v>
      </x:c>
    </x:row>
    <x:row r="138">
      <x:c r="A138" s="30" t="str">
        <x:v>txn-0137</x:v>
      </x:c>
      <x:c r="B138" s="30" t="str">
        <x:v>fin-bank-operating</x:v>
      </x:c>
      <x:c r="C138" s="32" t="n">
        <x:v>46173</x:v>
      </x:c>
      <x:c r="D138" s="34" t="n">
        <x:v>3971.9</x:v>
      </x:c>
      <x:c r="E138" s="31" t="n">
        <x:v>397190</x:v>
      </x:c>
      <x:c r="F138" s="30" t="str">
        <x:v>Marketplace deposit 2026-05</x:v>
      </x:c>
      <x:c r="G138" s="30" t="str">
        <x:v>MATCHED_TRANSFER</x:v>
      </x:c>
      <x:c r="H138" s="30" t="str">
        <x:v>TRANSFER</x:v>
      </x:c>
      <x:c r="I138" s="30" t="str">
        <x:v>transfer-0017</x:v>
      </x:c>
      <x:c r="J138" s="30" t="str">
        <x:v>imports/2026/operating-checking.qbo</x:v>
      </x:c>
      <x:c r="K138" s="30" t="str"/>
      <x:c r="L138" s="32" t="n">
        <x:v>46254.5</x:v>
      </x:c>
      <x:c r="M138" s="32" t="n">
        <x:v>46254.5</x:v>
      </x:c>
      <x:c r="N138" s="31" t="n">
        <x:f>SUMIF('Posting Splits'!$B$2:$B$147,A138,'Posting Splits'!$D$2:$D$147)</x:f>
        <x:v>0</x:v>
      </x:c>
      <x:c r="O138" s="30" t="str">
        <x:f>IF(G138="POSTED",IF(E138=N138,"OK","FAIL"),"N/A")</x:f>
        <x:v>N/A</x:v>
      </x:c>
    </x:row>
    <x:row r="139">
      <x:c r="A139" s="30" t="str">
        <x:v>txn-0138</x:v>
      </x:c>
      <x:c r="B139" s="30" t="str">
        <x:v>fin-marketplace</x:v>
      </x:c>
      <x:c r="C139" s="32" t="n">
        <x:v>46203</x:v>
      </x:c>
      <x:c r="D139" s="34" t="n">
        <x:v>9200</x:v>
      </x:c>
      <x:c r="E139" s="31" t="n">
        <x:v>920000</x:v>
      </x:c>
      <x:c r="F139" s="30" t="str">
        <x:v>Product Charges</x:v>
      </x:c>
      <x:c r="G139" s="30" t="str">
        <x:v>POSTED</x:v>
      </x:c>
      <x:c r="H139" s="30" t="str">
        <x:v>MANUAL</x:v>
      </x:c>
      <x:c r="I139" s="30" t="str"/>
      <x:c r="J139" s="30" t="str">
        <x:v>imports/2026/marketplace-summary.csv</x:v>
      </x:c>
      <x:c r="K139" s="30" t="str"/>
      <x:c r="L139" s="32" t="n">
        <x:v>46254.5</x:v>
      </x:c>
      <x:c r="M139" s="32" t="n">
        <x:v>46254.5</x:v>
      </x:c>
      <x:c r="N139" s="31" t="n">
        <x:f>SUMIF('Posting Splits'!$B$2:$B$147,A139,'Posting Splits'!$D$2:$D$147)</x:f>
        <x:v>920000</x:v>
      </x:c>
      <x:c r="O139" s="30" t="str">
        <x:f>IF(G139="POSTED",IF(E139=N139,"OK","FAIL"),"N/A")</x:f>
        <x:v>OK</x:v>
      </x:c>
    </x:row>
    <x:row r="140">
      <x:c r="A140" s="30" t="str">
        <x:v>txn-0139</x:v>
      </x:c>
      <x:c r="B140" s="30" t="str">
        <x:v>fin-marketplace</x:v>
      </x:c>
      <x:c r="C140" s="32" t="n">
        <x:v>46203</x:v>
      </x:c>
      <x:c r="D140" s="34" t="n">
        <x:v>-460</x:v>
      </x:c>
      <x:c r="E140" s="31" t="n">
        <x:v>-46000</x:v>
      </x:c>
      <x:c r="F140" s="30" t="str">
        <x:v>Refunds</x:v>
      </x:c>
      <x:c r="G140" s="30" t="str">
        <x:v>POSTED</x:v>
      </x:c>
      <x:c r="H140" s="30" t="str">
        <x:v>MANUAL</x:v>
      </x:c>
      <x:c r="I140" s="30" t="str"/>
      <x:c r="J140" s="30" t="str">
        <x:v>imports/2026/marketplace-summary.csv</x:v>
      </x:c>
      <x:c r="K140" s="30" t="str"/>
      <x:c r="L140" s="32" t="n">
        <x:v>46254.5</x:v>
      </x:c>
      <x:c r="M140" s="32" t="n">
        <x:v>46254.5</x:v>
      </x:c>
      <x:c r="N140" s="31" t="n">
        <x:f>SUMIF('Posting Splits'!$B$2:$B$147,A140,'Posting Splits'!$D$2:$D$147)</x:f>
        <x:v>-46000</x:v>
      </x:c>
      <x:c r="O140" s="30" t="str">
        <x:f>IF(G140="POSTED",IF(E140=N140,"OK","FAIL"),"N/A")</x:f>
        <x:v>OK</x:v>
      </x:c>
    </x:row>
    <x:row r="141">
      <x:c r="A141" s="30" t="str">
        <x:v>txn-0140</x:v>
      </x:c>
      <x:c r="B141" s="30" t="str">
        <x:v>fin-marketplace</x:v>
      </x:c>
      <x:c r="C141" s="32" t="n">
        <x:v>46203</x:v>
      </x:c>
      <x:c r="D141" s="34" t="n">
        <x:v>101.2</x:v>
      </x:c>
      <x:c r="E141" s="31" t="n">
        <x:v>10120</x:v>
      </x:c>
      <x:c r="F141" s="30" t="str">
        <x:v>ShippingCharge</x:v>
      </x:c>
      <x:c r="G141" s="30" t="str">
        <x:v>POSTED</x:v>
      </x:c>
      <x:c r="H141" s="30" t="str">
        <x:v>MANUAL</x:v>
      </x:c>
      <x:c r="I141" s="30" t="str"/>
      <x:c r="J141" s="30" t="str">
        <x:v>imports/2026/marketplace-summary.csv</x:v>
      </x:c>
      <x:c r="K141" s="30" t="str"/>
      <x:c r="L141" s="32" t="n">
        <x:v>46254.5</x:v>
      </x:c>
      <x:c r="M141" s="32" t="n">
        <x:v>46254.5</x:v>
      </x:c>
      <x:c r="N141" s="31" t="n">
        <x:f>SUMIF('Posting Splits'!$B$2:$B$147,A141,'Posting Splits'!$D$2:$D$147)</x:f>
        <x:v>10120</x:v>
      </x:c>
      <x:c r="O141" s="30" t="str">
        <x:f>IF(G141="POSTED",IF(E141=N141,"OK","FAIL"),"N/A")</x:f>
        <x:v>OK</x:v>
      </x:c>
    </x:row>
    <x:row r="142">
      <x:c r="A142" s="30" t="str">
        <x:v>txn-0141</x:v>
      </x:c>
      <x:c r="B142" s="30" t="str">
        <x:v>fin-marketplace</x:v>
      </x:c>
      <x:c r="C142" s="32" t="n">
        <x:v>46203</x:v>
      </x:c>
      <x:c r="D142" s="34" t="n">
        <x:v>-1380</x:v>
      </x:c>
      <x:c r="E142" s="31" t="n">
        <x:v>-138000</x:v>
      </x:c>
      <x:c r="F142" s="30" t="str">
        <x:v>Commission</x:v>
      </x:c>
      <x:c r="G142" s="30" t="str">
        <x:v>POSTED</x:v>
      </x:c>
      <x:c r="H142" s="30" t="str">
        <x:v>MANUAL</x:v>
      </x:c>
      <x:c r="I142" s="30" t="str"/>
      <x:c r="J142" s="30" t="str">
        <x:v>imports/2026/marketplace-summary.csv</x:v>
      </x:c>
      <x:c r="K142" s="30" t="str"/>
      <x:c r="L142" s="32" t="n">
        <x:v>46254.5</x:v>
      </x:c>
      <x:c r="M142" s="32" t="n">
        <x:v>46254.5</x:v>
      </x:c>
      <x:c r="N142" s="31" t="n">
        <x:f>SUMIF('Posting Splits'!$B$2:$B$147,A142,'Posting Splits'!$D$2:$D$147)</x:f>
        <x:v>-138000</x:v>
      </x:c>
      <x:c r="O142" s="30" t="str">
        <x:f>IF(G142="POSTED",IF(E142=N142,"OK","FAIL"),"N/A")</x:f>
        <x:v>OK</x:v>
      </x:c>
    </x:row>
    <x:row r="143">
      <x:c r="A143" s="30" t="str">
        <x:v>txn-0142</x:v>
      </x:c>
      <x:c r="B143" s="30" t="str">
        <x:v>fin-marketplace</x:v>
      </x:c>
      <x:c r="C143" s="32" t="n">
        <x:v>46203</x:v>
      </x:c>
      <x:c r="D143" s="34" t="n">
        <x:v>-2070</x:v>
      </x:c>
      <x:c r="E143" s="31" t="n">
        <x:v>-207000</x:v>
      </x:c>
      <x:c r="F143" s="30" t="str">
        <x:v>FBAPerUnitFulfillmentFee</x:v>
      </x:c>
      <x:c r="G143" s="30" t="str">
        <x:v>POSTED</x:v>
      </x:c>
      <x:c r="H143" s="30" t="str">
        <x:v>MANUAL</x:v>
      </x:c>
      <x:c r="I143" s="30" t="str"/>
      <x:c r="J143" s="30" t="str">
        <x:v>imports/2026/marketplace-summary.csv</x:v>
      </x:c>
      <x:c r="K143" s="30" t="str"/>
      <x:c r="L143" s="32" t="n">
        <x:v>46254.5</x:v>
      </x:c>
      <x:c r="M143" s="32" t="n">
        <x:v>46254.5</x:v>
      </x:c>
      <x:c r="N143" s="31" t="n">
        <x:f>SUMIF('Posting Splits'!$B$2:$B$147,A143,'Posting Splits'!$D$2:$D$147)</x:f>
        <x:v>-207000</x:v>
      </x:c>
      <x:c r="O143" s="30" t="str">
        <x:f>IF(G143="POSTED",IF(E143=N143,"OK","FAIL"),"N/A")</x:f>
        <x:v>OK</x:v>
      </x:c>
    </x:row>
    <x:row r="144">
      <x:c r="A144" s="30" t="str">
        <x:v>txn-0143</x:v>
      </x:c>
      <x:c r="B144" s="30" t="str">
        <x:v>fin-marketplace</x:v>
      </x:c>
      <x:c r="C144" s="32" t="n">
        <x:v>46203</x:v>
      </x:c>
      <x:c r="D144" s="34" t="n">
        <x:v>-186</x:v>
      </x:c>
      <x:c r="E144" s="31" t="n">
        <x:v>-18600</x:v>
      </x:c>
      <x:c r="F144" s="30" t="str">
        <x:v>FBAStorageFee</x:v>
      </x:c>
      <x:c r="G144" s="30" t="str">
        <x:v>POSTED</x:v>
      </x:c>
      <x:c r="H144" s="30" t="str">
        <x:v>MANUAL</x:v>
      </x:c>
      <x:c r="I144" s="30" t="str"/>
      <x:c r="J144" s="30" t="str">
        <x:v>imports/2026/marketplace-summary.csv</x:v>
      </x:c>
      <x:c r="K144" s="30" t="str"/>
      <x:c r="L144" s="32" t="n">
        <x:v>46254.5</x:v>
      </x:c>
      <x:c r="M144" s="32" t="n">
        <x:v>46254.5</x:v>
      </x:c>
      <x:c r="N144" s="31" t="n">
        <x:f>SUMIF('Posting Splits'!$B$2:$B$147,A144,'Posting Splits'!$D$2:$D$147)</x:f>
        <x:v>-18600</x:v>
      </x:c>
      <x:c r="O144" s="30" t="str">
        <x:f>IF(G144="POSTED",IF(E144=N144,"OK","FAIL"),"N/A")</x:f>
        <x:v>OK</x:v>
      </x:c>
    </x:row>
    <x:row r="145">
      <x:c r="A145" s="30" t="str">
        <x:v>txn-0144</x:v>
      </x:c>
      <x:c r="B145" s="30" t="str">
        <x:v>fin-marketplace</x:v>
      </x:c>
      <x:c r="C145" s="32" t="n">
        <x:v>46203</x:v>
      </x:c>
      <x:c r="D145" s="34" t="n">
        <x:v>-5205.2</x:v>
      </x:c>
      <x:c r="E145" s="31" t="n">
        <x:v>-520520</x:v>
      </x:c>
      <x:c r="F145" s="30" t="str">
        <x:v>Marketplace payout 2026-06</x:v>
      </x:c>
      <x:c r="G145" s="30" t="str">
        <x:v>MATCHED_TRANSFER</x:v>
      </x:c>
      <x:c r="H145" s="30" t="str">
        <x:v>TRANSFER</x:v>
      </x:c>
      <x:c r="I145" s="30" t="str">
        <x:v>transfer-0018</x:v>
      </x:c>
      <x:c r="J145" s="30" t="str">
        <x:v>imports/2026/marketplace-transfers.csv</x:v>
      </x:c>
      <x:c r="K145" s="30" t="str"/>
      <x:c r="L145" s="32" t="n">
        <x:v>46254.5</x:v>
      </x:c>
      <x:c r="M145" s="32" t="n">
        <x:v>46254.5</x:v>
      </x:c>
      <x:c r="N145" s="31" t="n">
        <x:f>SUMIF('Posting Splits'!$B$2:$B$147,A145,'Posting Splits'!$D$2:$D$147)</x:f>
        <x:v>0</x:v>
      </x:c>
      <x:c r="O145" s="30" t="str">
        <x:f>IF(G145="POSTED",IF(E145=N145,"OK","FAIL"),"N/A")</x:f>
        <x:v>N/A</x:v>
      </x:c>
    </x:row>
    <x:row r="146">
      <x:c r="A146" s="30" t="str">
        <x:v>txn-0145</x:v>
      </x:c>
      <x:c r="B146" s="30" t="str">
        <x:v>fin-bank-operating</x:v>
      </x:c>
      <x:c r="C146" s="32" t="n">
        <x:v>46203</x:v>
      </x:c>
      <x:c r="D146" s="34" t="n">
        <x:v>5205.2</x:v>
      </x:c>
      <x:c r="E146" s="31" t="n">
        <x:v>520520</x:v>
      </x:c>
      <x:c r="F146" s="30" t="str">
        <x:v>Marketplace deposit 2026-06</x:v>
      </x:c>
      <x:c r="G146" s="30" t="str">
        <x:v>MATCHED_TRANSFER</x:v>
      </x:c>
      <x:c r="H146" s="30" t="str">
        <x:v>TRANSFER</x:v>
      </x:c>
      <x:c r="I146" s="30" t="str">
        <x:v>transfer-0018</x:v>
      </x:c>
      <x:c r="J146" s="30" t="str">
        <x:v>imports/2026/operating-checking.qbo</x:v>
      </x:c>
      <x:c r="K146" s="30" t="str"/>
      <x:c r="L146" s="32" t="n">
        <x:v>46254.5</x:v>
      </x:c>
      <x:c r="M146" s="32" t="n">
        <x:v>46254.5</x:v>
      </x:c>
      <x:c r="N146" s="31" t="n">
        <x:f>SUMIF('Posting Splits'!$B$2:$B$147,A146,'Posting Splits'!$D$2:$D$147)</x:f>
        <x:v>0</x:v>
      </x:c>
      <x:c r="O146" s="30" t="str">
        <x:f>IF(G146="POSTED",IF(E146=N146,"OK","FAIL"),"N/A")</x:f>
        <x:v>N/A</x:v>
      </x:c>
    </x:row>
    <x:row r="147">
      <x:c r="A147" s="30" t="str">
        <x:v>txn-0146</x:v>
      </x:c>
      <x:c r="B147" s="30" t="str">
        <x:v>fin-marketplace</x:v>
      </x:c>
      <x:c r="C147" s="32" t="n">
        <x:v>46234</x:v>
      </x:c>
      <x:c r="D147" s="34" t="n">
        <x:v>10100</x:v>
      </x:c>
      <x:c r="E147" s="31" t="n">
        <x:v>1010000</x:v>
      </x:c>
      <x:c r="F147" s="30" t="str">
        <x:v>Product Charges</x:v>
      </x:c>
      <x:c r="G147" s="30" t="str">
        <x:v>POSTED</x:v>
      </x:c>
      <x:c r="H147" s="30" t="str">
        <x:v>MANUAL</x:v>
      </x:c>
      <x:c r="I147" s="30" t="str"/>
      <x:c r="J147" s="30" t="str">
        <x:v>imports/2026/marketplace-summary.csv</x:v>
      </x:c>
      <x:c r="K147" s="30" t="str"/>
      <x:c r="L147" s="32" t="n">
        <x:v>46254.5</x:v>
      </x:c>
      <x:c r="M147" s="32" t="n">
        <x:v>46254.5</x:v>
      </x:c>
      <x:c r="N147" s="31" t="n">
        <x:f>SUMIF('Posting Splits'!$B$2:$B$147,A147,'Posting Splits'!$D$2:$D$147)</x:f>
        <x:v>1010000</x:v>
      </x:c>
      <x:c r="O147" s="30" t="str">
        <x:f>IF(G147="POSTED",IF(E147=N147,"OK","FAIL"),"N/A")</x:f>
        <x:v>OK</x:v>
      </x:c>
    </x:row>
    <x:row r="148">
      <x:c r="A148" s="30" t="str">
        <x:v>txn-0147</x:v>
      </x:c>
      <x:c r="B148" s="30" t="str">
        <x:v>fin-marketplace</x:v>
      </x:c>
      <x:c r="C148" s="32" t="n">
        <x:v>46234</x:v>
      </x:c>
      <x:c r="D148" s="34" t="n">
        <x:v>-505</x:v>
      </x:c>
      <x:c r="E148" s="31" t="n">
        <x:v>-50500</x:v>
      </x:c>
      <x:c r="F148" s="30" t="str">
        <x:v>Refunds</x:v>
      </x:c>
      <x:c r="G148" s="30" t="str">
        <x:v>POSTED</x:v>
      </x:c>
      <x:c r="H148" s="30" t="str">
        <x:v>MANUAL</x:v>
      </x:c>
      <x:c r="I148" s="30" t="str"/>
      <x:c r="J148" s="30" t="str">
        <x:v>imports/2026/marketplace-summary.csv</x:v>
      </x:c>
      <x:c r="K148" s="30" t="str"/>
      <x:c r="L148" s="32" t="n">
        <x:v>46254.5</x:v>
      </x:c>
      <x:c r="M148" s="32" t="n">
        <x:v>46254.5</x:v>
      </x:c>
      <x:c r="N148" s="31" t="n">
        <x:f>SUMIF('Posting Splits'!$B$2:$B$147,A148,'Posting Splits'!$D$2:$D$147)</x:f>
        <x:v>-50500</x:v>
      </x:c>
      <x:c r="O148" s="30" t="str">
        <x:f>IF(G148="POSTED",IF(E148=N148,"OK","FAIL"),"N/A")</x:f>
        <x:v>OK</x:v>
      </x:c>
    </x:row>
    <x:row r="149">
      <x:c r="A149" s="30" t="str">
        <x:v>txn-0148</x:v>
      </x:c>
      <x:c r="B149" s="30" t="str">
        <x:v>fin-marketplace</x:v>
      </x:c>
      <x:c r="C149" s="32" t="n">
        <x:v>46234</x:v>
      </x:c>
      <x:c r="D149" s="34" t="n">
        <x:v>111.1</x:v>
      </x:c>
      <x:c r="E149" s="31" t="n">
        <x:v>11110</x:v>
      </x:c>
      <x:c r="F149" s="30" t="str">
        <x:v>ShippingCharge</x:v>
      </x:c>
      <x:c r="G149" s="30" t="str">
        <x:v>POSTED</x:v>
      </x:c>
      <x:c r="H149" s="30" t="str">
        <x:v>MANUAL</x:v>
      </x:c>
      <x:c r="I149" s="30" t="str"/>
      <x:c r="J149" s="30" t="str">
        <x:v>imports/2026/marketplace-summary.csv</x:v>
      </x:c>
      <x:c r="K149" s="30" t="str"/>
      <x:c r="L149" s="32" t="n">
        <x:v>46254.5</x:v>
      </x:c>
      <x:c r="M149" s="32" t="n">
        <x:v>46254.5</x:v>
      </x:c>
      <x:c r="N149" s="31" t="n">
        <x:f>SUMIF('Posting Splits'!$B$2:$B$147,A149,'Posting Splits'!$D$2:$D$147)</x:f>
        <x:v>11110</x:v>
      </x:c>
      <x:c r="O149" s="30" t="str">
        <x:f>IF(G149="POSTED",IF(E149=N149,"OK","FAIL"),"N/A")</x:f>
        <x:v>OK</x:v>
      </x:c>
    </x:row>
    <x:row r="150">
      <x:c r="A150" s="30" t="str">
        <x:v>txn-0149</x:v>
      </x:c>
      <x:c r="B150" s="30" t="str">
        <x:v>fin-marketplace</x:v>
      </x:c>
      <x:c r="C150" s="32" t="n">
        <x:v>46234</x:v>
      </x:c>
      <x:c r="D150" s="34" t="n">
        <x:v>-1515</x:v>
      </x:c>
      <x:c r="E150" s="31" t="n">
        <x:v>-151500</x:v>
      </x:c>
      <x:c r="F150" s="30" t="str">
        <x:v>Commission</x:v>
      </x:c>
      <x:c r="G150" s="30" t="str">
        <x:v>POSTED</x:v>
      </x:c>
      <x:c r="H150" s="30" t="str">
        <x:v>MANUAL</x:v>
      </x:c>
      <x:c r="I150" s="30" t="str"/>
      <x:c r="J150" s="30" t="str">
        <x:v>imports/2026/marketplace-summary.csv</x:v>
      </x:c>
      <x:c r="K150" s="30" t="str"/>
      <x:c r="L150" s="32" t="n">
        <x:v>46254.5</x:v>
      </x:c>
      <x:c r="M150" s="32" t="n">
        <x:v>46254.5</x:v>
      </x:c>
      <x:c r="N150" s="31" t="n">
        <x:f>SUMIF('Posting Splits'!$B$2:$B$147,A150,'Posting Splits'!$D$2:$D$147)</x:f>
        <x:v>-151500</x:v>
      </x:c>
      <x:c r="O150" s="30" t="str">
        <x:f>IF(G150="POSTED",IF(E150=N150,"OK","FAIL"),"N/A")</x:f>
        <x:v>OK</x:v>
      </x:c>
    </x:row>
    <x:row r="151">
      <x:c r="A151" s="30" t="str">
        <x:v>txn-0150</x:v>
      </x:c>
      <x:c r="B151" s="30" t="str">
        <x:v>fin-marketplace</x:v>
      </x:c>
      <x:c r="C151" s="32" t="n">
        <x:v>46234</x:v>
      </x:c>
      <x:c r="D151" s="34" t="n">
        <x:v>-2121</x:v>
      </x:c>
      <x:c r="E151" s="31" t="n">
        <x:v>-212100</x:v>
      </x:c>
      <x:c r="F151" s="30" t="str">
        <x:v>FBAPerUnitFulfillmentFee</x:v>
      </x:c>
      <x:c r="G151" s="30" t="str">
        <x:v>POSTED</x:v>
      </x:c>
      <x:c r="H151" s="30" t="str">
        <x:v>MANUAL</x:v>
      </x:c>
      <x:c r="I151" s="30" t="str"/>
      <x:c r="J151" s="30" t="str">
        <x:v>imports/2026/marketplace-summary.csv</x:v>
      </x:c>
      <x:c r="K151" s="30" t="str"/>
      <x:c r="L151" s="32" t="n">
        <x:v>46254.5</x:v>
      </x:c>
      <x:c r="M151" s="32" t="n">
        <x:v>46254.5</x:v>
      </x:c>
      <x:c r="N151" s="31" t="n">
        <x:f>SUMIF('Posting Splits'!$B$2:$B$147,A151,'Posting Splits'!$D$2:$D$147)</x:f>
        <x:v>-212100</x:v>
      </x:c>
      <x:c r="O151" s="30" t="str">
        <x:f>IF(G151="POSTED",IF(E151=N151,"OK","FAIL"),"N/A")</x:f>
        <x:v>OK</x:v>
      </x:c>
    </x:row>
    <x:row r="152">
      <x:c r="A152" s="30" t="str">
        <x:v>txn-0151</x:v>
      </x:c>
      <x:c r="B152" s="30" t="str">
        <x:v>fin-marketplace</x:v>
      </x:c>
      <x:c r="C152" s="32" t="n">
        <x:v>46234</x:v>
      </x:c>
      <x:c r="D152" s="34" t="n">
        <x:v>-197</x:v>
      </x:c>
      <x:c r="E152" s="31" t="n">
        <x:v>-19700</x:v>
      </x:c>
      <x:c r="F152" s="30" t="str">
        <x:v>FBAStorageFee</x:v>
      </x:c>
      <x:c r="G152" s="30" t="str">
        <x:v>POSTED</x:v>
      </x:c>
      <x:c r="H152" s="30" t="str">
        <x:v>MANUAL</x:v>
      </x:c>
      <x:c r="I152" s="30" t="str"/>
      <x:c r="J152" s="30" t="str">
        <x:v>imports/2026/marketplace-summary.csv</x:v>
      </x:c>
      <x:c r="K152" s="30" t="str"/>
      <x:c r="L152" s="32" t="n">
        <x:v>46254.5</x:v>
      </x:c>
      <x:c r="M152" s="32" t="n">
        <x:v>46254.5</x:v>
      </x:c>
      <x:c r="N152" s="31" t="n">
        <x:f>SUMIF('Posting Splits'!$B$2:$B$147,A152,'Posting Splits'!$D$2:$D$147)</x:f>
        <x:v>-19700</x:v>
      </x:c>
      <x:c r="O152" s="30" t="str">
        <x:f>IF(G152="POSTED",IF(E152=N152,"OK","FAIL"),"N/A")</x:f>
        <x:v>OK</x:v>
      </x:c>
    </x:row>
    <x:row r="153">
      <x:c r="A153" s="30" t="str">
        <x:v>txn-0152</x:v>
      </x:c>
      <x:c r="B153" s="30" t="str">
        <x:v>fin-marketplace</x:v>
      </x:c>
      <x:c r="C153" s="32" t="n">
        <x:v>46234</x:v>
      </x:c>
      <x:c r="D153" s="34" t="n">
        <x:v>-5873.1</x:v>
      </x:c>
      <x:c r="E153" s="31" t="n">
        <x:v>-587310</x:v>
      </x:c>
      <x:c r="F153" s="30" t="str">
        <x:v>Marketplace payout 2026-07</x:v>
      </x:c>
      <x:c r="G153" s="30" t="str">
        <x:v>MATCHED_TRANSFER</x:v>
      </x:c>
      <x:c r="H153" s="30" t="str">
        <x:v>TRANSFER</x:v>
      </x:c>
      <x:c r="I153" s="30" t="str">
        <x:v>transfer-0019</x:v>
      </x:c>
      <x:c r="J153" s="30" t="str">
        <x:v>imports/2026/marketplace-transfers.csv</x:v>
      </x:c>
      <x:c r="K153" s="30" t="str"/>
      <x:c r="L153" s="32" t="n">
        <x:v>46254.5</x:v>
      </x:c>
      <x:c r="M153" s="32" t="n">
        <x:v>46254.5</x:v>
      </x:c>
      <x:c r="N153" s="31" t="n">
        <x:f>SUMIF('Posting Splits'!$B$2:$B$147,A153,'Posting Splits'!$D$2:$D$147)</x:f>
        <x:v>0</x:v>
      </x:c>
      <x:c r="O153" s="30" t="str">
        <x:f>IF(G153="POSTED",IF(E153=N153,"OK","FAIL"),"N/A")</x:f>
        <x:v>N/A</x:v>
      </x:c>
    </x:row>
    <x:row r="154">
      <x:c r="A154" s="30" t="str">
        <x:v>txn-0153</x:v>
      </x:c>
      <x:c r="B154" s="30" t="str">
        <x:v>fin-bank-operating</x:v>
      </x:c>
      <x:c r="C154" s="32" t="n">
        <x:v>46234</x:v>
      </x:c>
      <x:c r="D154" s="34" t="n">
        <x:v>5873.1</x:v>
      </x:c>
      <x:c r="E154" s="31" t="n">
        <x:v>587310</x:v>
      </x:c>
      <x:c r="F154" s="30" t="str">
        <x:v>Marketplace deposit 2026-07</x:v>
      </x:c>
      <x:c r="G154" s="30" t="str">
        <x:v>MATCHED_TRANSFER</x:v>
      </x:c>
      <x:c r="H154" s="30" t="str">
        <x:v>TRANSFER</x:v>
      </x:c>
      <x:c r="I154" s="30" t="str">
        <x:v>transfer-0019</x:v>
      </x:c>
      <x:c r="J154" s="30" t="str">
        <x:v>imports/2026/operating-checking.qbo</x:v>
      </x:c>
      <x:c r="K154" s="30" t="str"/>
      <x:c r="L154" s="32" t="n">
        <x:v>46254.5</x:v>
      </x:c>
      <x:c r="M154" s="32" t="n">
        <x:v>46254.5</x:v>
      </x:c>
      <x:c r="N154" s="31" t="n">
        <x:f>SUMIF('Posting Splits'!$B$2:$B$147,A154,'Posting Splits'!$D$2:$D$147)</x:f>
        <x:v>0</x:v>
      </x:c>
      <x:c r="O154" s="30" t="str">
        <x:f>IF(G154="POSTED",IF(E154=N154,"OK","FAIL"),"N/A")</x:f>
        <x:v>N/A</x:v>
      </x:c>
    </x:row>
    <x:row r="155">
      <x:c r="A155" s="30" t="str">
        <x:v>txn-0154</x:v>
      </x:c>
      <x:c r="B155" s="30" t="str">
        <x:v>fin-marketplace</x:v>
      </x:c>
      <x:c r="C155" s="32" t="n">
        <x:v>46265</x:v>
      </x:c>
      <x:c r="D155" s="34" t="n">
        <x:v>3600</x:v>
      </x:c>
      <x:c r="E155" s="31" t="n">
        <x:v>360000</x:v>
      </x:c>
      <x:c r="F155" s="30" t="str">
        <x:v>Product Charges</x:v>
      </x:c>
      <x:c r="G155" s="30" t="str">
        <x:v>POSTED</x:v>
      </x:c>
      <x:c r="H155" s="30" t="str">
        <x:v>MANUAL</x:v>
      </x:c>
      <x:c r="I155" s="30" t="str"/>
      <x:c r="J155" s="30" t="str">
        <x:v>imports/2026/marketplace-summary.csv</x:v>
      </x:c>
      <x:c r="K155" s="30" t="str"/>
      <x:c r="L155" s="32" t="n">
        <x:v>46254.5</x:v>
      </x:c>
      <x:c r="M155" s="32" t="n">
        <x:v>46254.5</x:v>
      </x:c>
      <x:c r="N155" s="31" t="n">
        <x:f>SUMIF('Posting Splits'!$B$2:$B$147,A155,'Posting Splits'!$D$2:$D$147)</x:f>
        <x:v>360000</x:v>
      </x:c>
      <x:c r="O155" s="30" t="str">
        <x:f>IF(G155="POSTED",IF(E155=N155,"OK","FAIL"),"N/A")</x:f>
        <x:v>OK</x:v>
      </x:c>
    </x:row>
    <x:row r="156">
      <x:c r="A156" s="30" t="str">
        <x:v>txn-0155</x:v>
      </x:c>
      <x:c r="B156" s="30" t="str">
        <x:v>fin-marketplace</x:v>
      </x:c>
      <x:c r="C156" s="32" t="n">
        <x:v>46265</x:v>
      </x:c>
      <x:c r="D156" s="34" t="n">
        <x:v>-234</x:v>
      </x:c>
      <x:c r="E156" s="31" t="n">
        <x:v>-23400</x:v>
      </x:c>
      <x:c r="F156" s="30" t="str">
        <x:v>Refunds</x:v>
      </x:c>
      <x:c r="G156" s="30" t="str">
        <x:v>POSTED</x:v>
      </x:c>
      <x:c r="H156" s="30" t="str">
        <x:v>MANUAL</x:v>
      </x:c>
      <x:c r="I156" s="30" t="str"/>
      <x:c r="J156" s="30" t="str">
        <x:v>imports/2026/marketplace-summary.csv</x:v>
      </x:c>
      <x:c r="K156" s="30" t="str"/>
      <x:c r="L156" s="32" t="n">
        <x:v>46254.5</x:v>
      </x:c>
      <x:c r="M156" s="32" t="n">
        <x:v>46254.5</x:v>
      </x:c>
      <x:c r="N156" s="31" t="n">
        <x:f>SUMIF('Posting Splits'!$B$2:$B$147,A156,'Posting Splits'!$D$2:$D$147)</x:f>
        <x:v>-23400</x:v>
      </x:c>
      <x:c r="O156" s="30" t="str">
        <x:f>IF(G156="POSTED",IF(E156=N156,"OK","FAIL"),"N/A")</x:f>
        <x:v>OK</x:v>
      </x:c>
    </x:row>
    <x:row r="157">
      <x:c r="A157" s="30" t="str">
        <x:v>txn-0156</x:v>
      </x:c>
      <x:c r="B157" s="30" t="str">
        <x:v>fin-marketplace</x:v>
      </x:c>
      <x:c r="C157" s="32" t="n">
        <x:v>46265</x:v>
      </x:c>
      <x:c r="D157" s="34" t="n">
        <x:v>39.6</x:v>
      </x:c>
      <x:c r="E157" s="31" t="n">
        <x:v>3960</x:v>
      </x:c>
      <x:c r="F157" s="30" t="str">
        <x:v>ShippingCharge</x:v>
      </x:c>
      <x:c r="G157" s="30" t="str">
        <x:v>POSTED</x:v>
      </x:c>
      <x:c r="H157" s="30" t="str">
        <x:v>MANUAL</x:v>
      </x:c>
      <x:c r="I157" s="30" t="str"/>
      <x:c r="J157" s="30" t="str">
        <x:v>imports/2026/marketplace-summary.csv</x:v>
      </x:c>
      <x:c r="K157" s="30" t="str"/>
      <x:c r="L157" s="32" t="n">
        <x:v>46254.5</x:v>
      </x:c>
      <x:c r="M157" s="32" t="n">
        <x:v>46254.5</x:v>
      </x:c>
      <x:c r="N157" s="31" t="n">
        <x:f>SUMIF('Posting Splits'!$B$2:$B$147,A157,'Posting Splits'!$D$2:$D$147)</x:f>
        <x:v>3960</x:v>
      </x:c>
      <x:c r="O157" s="30" t="str">
        <x:f>IF(G157="POSTED",IF(E157=N157,"OK","FAIL"),"N/A")</x:f>
        <x:v>OK</x:v>
      </x:c>
    </x:row>
    <x:row r="158">
      <x:c r="A158" s="30" t="str">
        <x:v>txn-0157</x:v>
      </x:c>
      <x:c r="B158" s="30" t="str">
        <x:v>fin-marketplace</x:v>
      </x:c>
      <x:c r="C158" s="32" t="n">
        <x:v>46265</x:v>
      </x:c>
      <x:c r="D158" s="34" t="n">
        <x:v>-540</x:v>
      </x:c>
      <x:c r="E158" s="31" t="n">
        <x:v>-54000</x:v>
      </x:c>
      <x:c r="F158" s="30" t="str">
        <x:v>Commission</x:v>
      </x:c>
      <x:c r="G158" s="30" t="str">
        <x:v>POSTED</x:v>
      </x:c>
      <x:c r="H158" s="30" t="str">
        <x:v>MANUAL</x:v>
      </x:c>
      <x:c r="I158" s="30" t="str"/>
      <x:c r="J158" s="30" t="str">
        <x:v>imports/2026/marketplace-summary.csv</x:v>
      </x:c>
      <x:c r="K158" s="30" t="str"/>
      <x:c r="L158" s="32" t="n">
        <x:v>46254.5</x:v>
      </x:c>
      <x:c r="M158" s="32" t="n">
        <x:v>46254.5</x:v>
      </x:c>
      <x:c r="N158" s="31" t="n">
        <x:f>SUMIF('Posting Splits'!$B$2:$B$147,A158,'Posting Splits'!$D$2:$D$147)</x:f>
        <x:v>-54000</x:v>
      </x:c>
      <x:c r="O158" s="30" t="str">
        <x:f>IF(G158="POSTED",IF(E158=N158,"OK","FAIL"),"N/A")</x:f>
        <x:v>OK</x:v>
      </x:c>
    </x:row>
    <x:row r="159">
      <x:c r="A159" s="30" t="str">
        <x:v>txn-0158</x:v>
      </x:c>
      <x:c r="B159" s="30" t="str">
        <x:v>fin-marketplace</x:v>
      </x:c>
      <x:c r="C159" s="32" t="n">
        <x:v>46265</x:v>
      </x:c>
      <x:c r="D159" s="34" t="n">
        <x:v>-756</x:v>
      </x:c>
      <x:c r="E159" s="31" t="n">
        <x:v>-75600</x:v>
      </x:c>
      <x:c r="F159" s="30" t="str">
        <x:v>FBAPerUnitFulfillmentFee</x:v>
      </x:c>
      <x:c r="G159" s="30" t="str">
        <x:v>POSTED</x:v>
      </x:c>
      <x:c r="H159" s="30" t="str">
        <x:v>MANUAL</x:v>
      </x:c>
      <x:c r="I159" s="30" t="str"/>
      <x:c r="J159" s="30" t="str">
        <x:v>imports/2026/marketplace-summary.csv</x:v>
      </x:c>
      <x:c r="K159" s="30" t="str"/>
      <x:c r="L159" s="32" t="n">
        <x:v>46254.5</x:v>
      </x:c>
      <x:c r="M159" s="32" t="n">
        <x:v>46254.5</x:v>
      </x:c>
      <x:c r="N159" s="31" t="n">
        <x:f>SUMIF('Posting Splits'!$B$2:$B$147,A159,'Posting Splits'!$D$2:$D$147)</x:f>
        <x:v>-75600</x:v>
      </x:c>
      <x:c r="O159" s="30" t="str">
        <x:f>IF(G159="POSTED",IF(E159=N159,"OK","FAIL"),"N/A")</x:f>
        <x:v>OK</x:v>
      </x:c>
    </x:row>
    <x:row r="160">
      <x:c r="A160" s="30" t="str">
        <x:v>txn-0159</x:v>
      </x:c>
      <x:c r="B160" s="30" t="str">
        <x:v>fin-marketplace</x:v>
      </x:c>
      <x:c r="C160" s="32" t="n">
        <x:v>46265</x:v>
      </x:c>
      <x:c r="D160" s="34" t="n">
        <x:v>-208</x:v>
      </x:c>
      <x:c r="E160" s="31" t="n">
        <x:v>-20800</x:v>
      </x:c>
      <x:c r="F160" s="30" t="str">
        <x:v>FBAStorageFee</x:v>
      </x:c>
      <x:c r="G160" s="30" t="str">
        <x:v>POSTED</x:v>
      </x:c>
      <x:c r="H160" s="30" t="str">
        <x:v>MANUAL</x:v>
      </x:c>
      <x:c r="I160" s="30" t="str"/>
      <x:c r="J160" s="30" t="str">
        <x:v>imports/2026/marketplace-summary.csv</x:v>
      </x:c>
      <x:c r="K160" s="30" t="str"/>
      <x:c r="L160" s="32" t="n">
        <x:v>46254.5</x:v>
      </x:c>
      <x:c r="M160" s="32" t="n">
        <x:v>46254.5</x:v>
      </x:c>
      <x:c r="N160" s="31" t="n">
        <x:f>SUMIF('Posting Splits'!$B$2:$B$147,A160,'Posting Splits'!$D$2:$D$147)</x:f>
        <x:v>-20800</x:v>
      </x:c>
      <x:c r="O160" s="30" t="str">
        <x:f>IF(G160="POSTED",IF(E160=N160,"OK","FAIL"),"N/A")</x:f>
        <x:v>OK</x:v>
      </x:c>
    </x:row>
    <x:row r="161">
      <x:c r="A161" s="30" t="str">
        <x:v>txn-0160</x:v>
      </x:c>
      <x:c r="B161" s="30" t="str">
        <x:v>fin-marketplace</x:v>
      </x:c>
      <x:c r="C161" s="32" t="n">
        <x:v>46265</x:v>
      </x:c>
      <x:c r="D161" s="34" t="n">
        <x:v>-75</x:v>
      </x:c>
      <x:c r="E161" s="31" t="n">
        <x:v>-7500</x:v>
      </x:c>
      <x:c r="F161" s="30" t="str">
        <x:v>MiscPlatformFee</x:v>
      </x:c>
      <x:c r="G161" s="30" t="str">
        <x:v>POSTED</x:v>
      </x:c>
      <x:c r="H161" s="30" t="str">
        <x:v>MANUAL</x:v>
      </x:c>
      <x:c r="I161" s="30" t="str"/>
      <x:c r="J161" s="30" t="str">
        <x:v>imports/2026/marketplace-summary.csv</x:v>
      </x:c>
      <x:c r="K161" s="30" t="str"/>
      <x:c r="L161" s="32" t="n">
        <x:v>46254.5</x:v>
      </x:c>
      <x:c r="M161" s="32" t="n">
        <x:v>46254.5</x:v>
      </x:c>
      <x:c r="N161" s="31" t="n">
        <x:f>SUMIF('Posting Splits'!$B$2:$B$147,A161,'Posting Splits'!$D$2:$D$147)</x:f>
        <x:v>-7500</x:v>
      </x:c>
      <x:c r="O161" s="30" t="str">
        <x:f>IF(G161="POSTED",IF(E161=N161,"OK","FAIL"),"N/A")</x:f>
        <x:v>OK</x:v>
      </x:c>
    </x:row>
    <x:row r="162">
      <x:c r="A162" s="30" t="str">
        <x:v>txn-0161</x:v>
      </x:c>
      <x:c r="B162" s="30" t="str">
        <x:v>fin-marketplace</x:v>
      </x:c>
      <x:c r="C162" s="32" t="n">
        <x:v>46265</x:v>
      </x:c>
      <x:c r="D162" s="34" t="n">
        <x:v>-1826.6</x:v>
      </x:c>
      <x:c r="E162" s="31" t="n">
        <x:v>-182660</x:v>
      </x:c>
      <x:c r="F162" s="30" t="str">
        <x:v>Marketplace payout 2026-08</x:v>
      </x:c>
      <x:c r="G162" s="30" t="str">
        <x:v>MATCHED_TRANSFER</x:v>
      </x:c>
      <x:c r="H162" s="30" t="str">
        <x:v>TRANSFER</x:v>
      </x:c>
      <x:c r="I162" s="30" t="str">
        <x:v>transfer-0020</x:v>
      </x:c>
      <x:c r="J162" s="30" t="str">
        <x:v>imports/2026/marketplace-transfers.csv</x:v>
      </x:c>
      <x:c r="K162" s="30" t="str"/>
      <x:c r="L162" s="32" t="n">
        <x:v>46254.5</x:v>
      </x:c>
      <x:c r="M162" s="32" t="n">
        <x:v>46254.5</x:v>
      </x:c>
      <x:c r="N162" s="31" t="n">
        <x:f>SUMIF('Posting Splits'!$B$2:$B$147,A162,'Posting Splits'!$D$2:$D$147)</x:f>
        <x:v>0</x:v>
      </x:c>
      <x:c r="O162" s="30" t="str">
        <x:f>IF(G162="POSTED",IF(E162=N162,"OK","FAIL"),"N/A")</x:f>
        <x:v>N/A</x:v>
      </x:c>
    </x:row>
    <x:row r="163">
      <x:c r="A163" s="30" t="str">
        <x:v>txn-0162</x:v>
      </x:c>
      <x:c r="B163" s="30" t="str">
        <x:v>fin-bank-operating</x:v>
      </x:c>
      <x:c r="C163" s="32" t="n">
        <x:v>46265</x:v>
      </x:c>
      <x:c r="D163" s="34" t="n">
        <x:v>1826.6</x:v>
      </x:c>
      <x:c r="E163" s="31" t="n">
        <x:v>182660</x:v>
      </x:c>
      <x:c r="F163" s="30" t="str">
        <x:v>Marketplace deposit 2026-08</x:v>
      </x:c>
      <x:c r="G163" s="30" t="str">
        <x:v>MATCHED_TRANSFER</x:v>
      </x:c>
      <x:c r="H163" s="30" t="str">
        <x:v>TRANSFER</x:v>
      </x:c>
      <x:c r="I163" s="30" t="str">
        <x:v>transfer-0020</x:v>
      </x:c>
      <x:c r="J163" s="30" t="str">
        <x:v>imports/2026/operating-checking.qbo</x:v>
      </x:c>
      <x:c r="K163" s="30" t="str"/>
      <x:c r="L163" s="32" t="n">
        <x:v>46254.5</x:v>
      </x:c>
      <x:c r="M163" s="32" t="n">
        <x:v>46254.5</x:v>
      </x:c>
      <x:c r="N163" s="31" t="n">
        <x:f>SUMIF('Posting Splits'!$B$2:$B$147,A163,'Posting Splits'!$D$2:$D$147)</x:f>
        <x:v>0</x:v>
      </x:c>
      <x:c r="O163" s="30" t="str">
        <x:f>IF(G163="POSTED",IF(E163=N163,"OK","FAIL"),"N/A")</x:f>
        <x:v>N/A</x:v>
      </x:c>
    </x:row>
    <x:row r="164">
      <x:c r="A164" s="30" t="str">
        <x:v>txn-0163</x:v>
      </x:c>
      <x:c r="B164" s="30" t="str">
        <x:v>fin-bank-operating</x:v>
      </x:c>
      <x:c r="C164" s="32" t="n">
        <x:v>45660</x:v>
      </x:c>
      <x:c r="D164" s="34" t="n">
        <x:v>4000</x:v>
      </x:c>
      <x:c r="E164" s="31" t="n">
        <x:v>400000</x:v>
      </x:c>
      <x:c r="F164" s="30" t="str">
        <x:v>Owner capital contribution</x:v>
      </x:c>
      <x:c r="G164" s="30" t="str">
        <x:v>POSTED</x:v>
      </x:c>
      <x:c r="H164" s="30" t="str">
        <x:v>MANUAL</x:v>
      </x:c>
      <x:c r="I164" s="30" t="str"/>
      <x:c r="J164" s="30" t="str">
        <x:v>imports/2025/operating-checking.xlsx</x:v>
      </x:c>
      <x:c r="K164" s="30" t="str"/>
      <x:c r="L164" s="32" t="n">
        <x:v>46254.5</x:v>
      </x:c>
      <x:c r="M164" s="32" t="n">
        <x:v>46254.5</x:v>
      </x:c>
      <x:c r="N164" s="31" t="n">
        <x:f>SUMIF('Posting Splits'!$B$2:$B$147,A164,'Posting Splits'!$D$2:$D$147)</x:f>
        <x:v>400000</x:v>
      </x:c>
      <x:c r="O164" s="30" t="str">
        <x:f>IF(G164="POSTED",IF(E164=N164,"OK","FAIL"),"N/A")</x:f>
        <x:v>OK</x:v>
      </x:c>
    </x:row>
    <x:row r="165">
      <x:c r="A165" s="30" t="str">
        <x:v>txn-0164</x:v>
      </x:c>
      <x:c r="B165" s="30" t="str">
        <x:v>fin-bank-operating</x:v>
      </x:c>
      <x:c r="C165" s="32" t="n">
        <x:v>45672</x:v>
      </x:c>
      <x:c r="D165" s="34" t="n">
        <x:v>-600</x:v>
      </x:c>
      <x:c r="E165" s="31" t="n">
        <x:v>-60000</x:v>
      </x:c>
      <x:c r="F165" s="30" t="str">
        <x:v>Annual liability insurance</x:v>
      </x:c>
      <x:c r="G165" s="30" t="str">
        <x:v>POSTED</x:v>
      </x:c>
      <x:c r="H165" s="30" t="str">
        <x:v>MANUAL</x:v>
      </x:c>
      <x:c r="I165" s="30" t="str"/>
      <x:c r="J165" s="30" t="str">
        <x:v>imports/2025/operating-checking.xlsx</x:v>
      </x:c>
      <x:c r="K165" s="30" t="str"/>
      <x:c r="L165" s="32" t="n">
        <x:v>46254.5</x:v>
      </x:c>
      <x:c r="M165" s="32" t="n">
        <x:v>46254.5</x:v>
      </x:c>
      <x:c r="N165" s="31" t="n">
        <x:f>SUMIF('Posting Splits'!$B$2:$B$147,A165,'Posting Splits'!$D$2:$D$147)</x:f>
        <x:v>-60000</x:v>
      </x:c>
      <x:c r="O165" s="30" t="str">
        <x:f>IF(G165="POSTED",IF(E165=N165,"OK","FAIL"),"N/A")</x:f>
        <x:v>OK</x:v>
      </x:c>
    </x:row>
    <x:row r="166">
      <x:c r="A166" s="30" t="str">
        <x:v>txn-0165</x:v>
      </x:c>
      <x:c r="B166" s="30" t="str">
        <x:v>fin-bank-operating</x:v>
      </x:c>
      <x:c r="C166" s="32" t="n">
        <x:v>45689</x:v>
      </x:c>
      <x:c r="D166" s="34" t="n">
        <x:v>-6000</x:v>
      </x:c>
      <x:c r="E166" s="31" t="n">
        <x:v>-600000</x:v>
      </x:c>
      <x:c r="F166" s="30" t="str">
        <x:v>Inventory funding transfer</x:v>
      </x:c>
      <x:c r="G166" s="30" t="str">
        <x:v>MATCHED_TRANSFER</x:v>
      </x:c>
      <x:c r="H166" s="30" t="str">
        <x:v>TRANSFER</x:v>
      </x:c>
      <x:c r="I166" s="30" t="str">
        <x:v>transfer-0021</x:v>
      </x:c>
      <x:c r="J166" s="30" t="str">
        <x:v>imports/2025/operating-checking.xlsx</x:v>
      </x:c>
      <x:c r="K166" s="30" t="str"/>
      <x:c r="L166" s="32" t="n">
        <x:v>46254.5</x:v>
      </x:c>
      <x:c r="M166" s="32" t="n">
        <x:v>46254.5</x:v>
      </x:c>
      <x:c r="N166" s="31" t="n">
        <x:f>SUMIF('Posting Splits'!$B$2:$B$147,A166,'Posting Splits'!$D$2:$D$147)</x:f>
        <x:v>0</x:v>
      </x:c>
      <x:c r="O166" s="30" t="str">
        <x:f>IF(G166="POSTED",IF(E166=N166,"OK","FAIL"),"N/A")</x:f>
        <x:v>N/A</x:v>
      </x:c>
    </x:row>
    <x:row r="167">
      <x:c r="A167" s="30" t="str">
        <x:v>txn-0166</x:v>
      </x:c>
      <x:c r="B167" s="30" t="str">
        <x:v>fin-inventory</x:v>
      </x:c>
      <x:c r="C167" s="32" t="n">
        <x:v>45689</x:v>
      </x:c>
      <x:c r="D167" s="34" t="n">
        <x:v>6000</x:v>
      </x:c>
      <x:c r="E167" s="31" t="n">
        <x:v>600000</x:v>
      </x:c>
      <x:c r="F167" s="30" t="str">
        <x:v>Inventory funding received</x:v>
      </x:c>
      <x:c r="G167" s="30" t="str">
        <x:v>MATCHED_TRANSFER</x:v>
      </x:c>
      <x:c r="H167" s="30" t="str">
        <x:v>TRANSFER</x:v>
      </x:c>
      <x:c r="I167" s="30" t="str">
        <x:v>transfer-0021</x:v>
      </x:c>
      <x:c r="J167" s="30" t="str">
        <x:v>imports/2025/inventory-activity.csv</x:v>
      </x:c>
      <x:c r="K167" s="30" t="str"/>
      <x:c r="L167" s="32" t="n">
        <x:v>46254.5</x:v>
      </x:c>
      <x:c r="M167" s="32" t="n">
        <x:v>46254.5</x:v>
      </x:c>
      <x:c r="N167" s="31" t="n">
        <x:f>SUMIF('Posting Splits'!$B$2:$B$147,A167,'Posting Splits'!$D$2:$D$147)</x:f>
        <x:v>0</x:v>
      </x:c>
      <x:c r="O167" s="30" t="str">
        <x:f>IF(G167="POSTED",IF(E167=N167,"OK","FAIL"),"N/A")</x:f>
        <x:v>N/A</x:v>
      </x:c>
    </x:row>
    <x:row r="168">
      <x:c r="A168" s="30" t="str">
        <x:v>txn-0167</x:v>
      </x:c>
      <x:c r="B168" s="30" t="str">
        <x:v>fin-bank-operating</x:v>
      </x:c>
      <x:c r="C168" s="32" t="n">
        <x:v>45721</x:v>
      </x:c>
      <x:c r="D168" s="34" t="n">
        <x:v>-2400</x:v>
      </x:c>
      <x:c r="E168" s="31" t="n">
        <x:v>-240000</x:v>
      </x:c>
      <x:c r="F168" s="30" t="str">
        <x:v>Warehouse equipment purchase</x:v>
      </x:c>
      <x:c r="G168" s="30" t="str">
        <x:v>POSTED</x:v>
      </x:c>
      <x:c r="H168" s="30" t="str">
        <x:v>MANUAL</x:v>
      </x:c>
      <x:c r="I168" s="30" t="str"/>
      <x:c r="J168" s="30" t="str">
        <x:v>imports/2025/operating-checking.xlsx</x:v>
      </x:c>
      <x:c r="K168" s="30" t="str"/>
      <x:c r="L168" s="32" t="n">
        <x:v>46254.5</x:v>
      </x:c>
      <x:c r="M168" s="32" t="n">
        <x:v>46254.5</x:v>
      </x:c>
      <x:c r="N168" s="31" t="n">
        <x:f>SUMIF('Posting Splits'!$B$2:$B$147,A168,'Posting Splits'!$D$2:$D$147)</x:f>
        <x:v>-240000</x:v>
      </x:c>
      <x:c r="O168" s="30" t="str">
        <x:f>IF(G168="POSTED",IF(E168=N168,"OK","FAIL"),"N/A")</x:f>
        <x:v>OK</x:v>
      </x:c>
    </x:row>
    <x:row r="169">
      <x:c r="A169" s="30" t="str">
        <x:v>txn-0168</x:v>
      </x:c>
      <x:c r="B169" s="30" t="str">
        <x:v>fin-bank-operating</x:v>
      </x:c>
      <x:c r="C169" s="32" t="n">
        <x:v>45757</x:v>
      </x:c>
      <x:c r="D169" s="34" t="n">
        <x:v>8000</x:v>
      </x:c>
      <x:c r="E169" s="31" t="n">
        <x:v>800000</x:v>
      </x:c>
      <x:c r="F169" s="30" t="str">
        <x:v>Term loan proceeds</x:v>
      </x:c>
      <x:c r="G169" s="30" t="str">
        <x:v>POSTED</x:v>
      </x:c>
      <x:c r="H169" s="30" t="str">
        <x:v>MANUAL</x:v>
      </x:c>
      <x:c r="I169" s="30" t="str"/>
      <x:c r="J169" s="30" t="str">
        <x:v>imports/2025/operating-checking.xlsx</x:v>
      </x:c>
      <x:c r="K169" s="30" t="str"/>
      <x:c r="L169" s="32" t="n">
        <x:v>46254.5</x:v>
      </x:c>
      <x:c r="M169" s="32" t="n">
        <x:v>46254.5</x:v>
      </x:c>
      <x:c r="N169" s="31" t="n">
        <x:f>SUMIF('Posting Splits'!$B$2:$B$147,A169,'Posting Splits'!$D$2:$D$147)</x:f>
        <x:v>800000</x:v>
      </x:c>
      <x:c r="O169" s="30" t="str">
        <x:f>IF(G169="POSTED",IF(E169=N169,"OK","FAIL"),"N/A")</x:f>
        <x:v>OK</x:v>
      </x:c>
    </x:row>
    <x:row r="170">
      <x:c r="A170" s="30" t="str">
        <x:v>txn-0169</x:v>
      </x:c>
      <x:c r="B170" s="30" t="str">
        <x:v>fin-card</x:v>
      </x:c>
      <x:c r="C170" s="32" t="n">
        <x:v>45778</x:v>
      </x:c>
      <x:c r="D170" s="34" t="n">
        <x:v>-240</x:v>
      </x:c>
      <x:c r="E170" s="31" t="n">
        <x:v>-24000</x:v>
      </x:c>
      <x:c r="F170" s="30" t="str">
        <x:v>Bookkeeping software subscription</x:v>
      </x:c>
      <x:c r="G170" s="30" t="str">
        <x:v>POSTED</x:v>
      </x:c>
      <x:c r="H170" s="30" t="str">
        <x:v>MANUAL</x:v>
      </x:c>
      <x:c r="I170" s="30" t="str"/>
      <x:c r="J170" s="30" t="str">
        <x:v>imports/2025/business-card.csv</x:v>
      </x:c>
      <x:c r="K170" s="30" t="str"/>
      <x:c r="L170" s="32" t="n">
        <x:v>46254.5</x:v>
      </x:c>
      <x:c r="M170" s="32" t="n">
        <x:v>46254.5</x:v>
      </x:c>
      <x:c r="N170" s="31" t="n">
        <x:f>SUMIF('Posting Splits'!$B$2:$B$147,A170,'Posting Splits'!$D$2:$D$147)</x:f>
        <x:v>-24000</x:v>
      </x:c>
      <x:c r="O170" s="30" t="str">
        <x:f>IF(G170="POSTED",IF(E170=N170,"OK","FAIL"),"N/A")</x:f>
        <x:v>OK</x:v>
      </x:c>
    </x:row>
    <x:row r="171">
      <x:c r="A171" s="30" t="str">
        <x:v>txn-0170</x:v>
      </x:c>
      <x:c r="B171" s="30" t="str">
        <x:v>fin-card</x:v>
      </x:c>
      <x:c r="C171" s="32" t="n">
        <x:v>45797</x:v>
      </x:c>
      <x:c r="D171" s="34" t="n">
        <x:v>-700</x:v>
      </x:c>
      <x:c r="E171" s="31" t="n">
        <x:v>-70000</x:v>
      </x:c>
      <x:c r="F171" s="30" t="str">
        <x:v>Search advertising campaign</x:v>
      </x:c>
      <x:c r="G171" s="30" t="str">
        <x:v>POSTED</x:v>
      </x:c>
      <x:c r="H171" s="30" t="str">
        <x:v>MANUAL</x:v>
      </x:c>
      <x:c r="I171" s="30" t="str"/>
      <x:c r="J171" s="30" t="str">
        <x:v>imports/2025/business-card.csv</x:v>
      </x:c>
      <x:c r="K171" s="30" t="str"/>
      <x:c r="L171" s="32" t="n">
        <x:v>46254.5</x:v>
      </x:c>
      <x:c r="M171" s="32" t="n">
        <x:v>46254.5</x:v>
      </x:c>
      <x:c r="N171" s="31" t="n">
        <x:f>SUMIF('Posting Splits'!$B$2:$B$147,A171,'Posting Splits'!$D$2:$D$147)</x:f>
        <x:v>-70000</x:v>
      </x:c>
      <x:c r="O171" s="30" t="str">
        <x:f>IF(G171="POSTED",IF(E171=N171,"OK","FAIL"),"N/A")</x:f>
        <x:v>OK</x:v>
      </x:c>
    </x:row>
    <x:row r="172">
      <x:c r="A172" s="30" t="str">
        <x:v>txn-0171</x:v>
      </x:c>
      <x:c r="B172" s="30" t="str">
        <x:v>fin-bank-operating</x:v>
      </x:c>
      <x:c r="C172" s="32" t="n">
        <x:v>45813</x:v>
      </x:c>
      <x:c r="D172" s="34" t="n">
        <x:v>-940</x:v>
      </x:c>
      <x:c r="E172" s="31" t="n">
        <x:v>-94000</x:v>
      </x:c>
      <x:c r="F172" s="30" t="str">
        <x:v>Business card payment</x:v>
      </x:c>
      <x:c r="G172" s="30" t="str">
        <x:v>MATCHED_TRANSFER</x:v>
      </x:c>
      <x:c r="H172" s="30" t="str">
        <x:v>TRANSFER</x:v>
      </x:c>
      <x:c r="I172" s="30" t="str">
        <x:v>transfer-0022</x:v>
      </x:c>
      <x:c r="J172" s="30" t="str">
        <x:v>imports/2025/operating-checking.xlsx</x:v>
      </x:c>
      <x:c r="K172" s="30" t="str"/>
      <x:c r="L172" s="32" t="n">
        <x:v>46254.5</x:v>
      </x:c>
      <x:c r="M172" s="32" t="n">
        <x:v>46254.5</x:v>
      </x:c>
      <x:c r="N172" s="31" t="n">
        <x:f>SUMIF('Posting Splits'!$B$2:$B$147,A172,'Posting Splits'!$D$2:$D$147)</x:f>
        <x:v>0</x:v>
      </x:c>
      <x:c r="O172" s="30" t="str">
        <x:f>IF(G172="POSTED",IF(E172=N172,"OK","FAIL"),"N/A")</x:f>
        <x:v>N/A</x:v>
      </x:c>
    </x:row>
    <x:row r="173">
      <x:c r="A173" s="30" t="str">
        <x:v>txn-0172</x:v>
      </x:c>
      <x:c r="B173" s="30" t="str">
        <x:v>fin-card</x:v>
      </x:c>
      <x:c r="C173" s="32" t="n">
        <x:v>45813</x:v>
      </x:c>
      <x:c r="D173" s="34" t="n">
        <x:v>940</x:v>
      </x:c>
      <x:c r="E173" s="31" t="n">
        <x:v>94000</x:v>
      </x:c>
      <x:c r="F173" s="30" t="str">
        <x:v>Payment received</x:v>
      </x:c>
      <x:c r="G173" s="30" t="str">
        <x:v>MATCHED_TRANSFER</x:v>
      </x:c>
      <x:c r="H173" s="30" t="str">
        <x:v>TRANSFER</x:v>
      </x:c>
      <x:c r="I173" s="30" t="str">
        <x:v>transfer-0022</x:v>
      </x:c>
      <x:c r="J173" s="30" t="str">
        <x:v>imports/2025/business-card.csv</x:v>
      </x:c>
      <x:c r="K173" s="30" t="str"/>
      <x:c r="L173" s="32" t="n">
        <x:v>46254.5</x:v>
      </x:c>
      <x:c r="M173" s="32" t="n">
        <x:v>46254.5</x:v>
      </x:c>
      <x:c r="N173" s="31" t="n">
        <x:f>SUMIF('Posting Splits'!$B$2:$B$147,A173,'Posting Splits'!$D$2:$D$147)</x:f>
        <x:v>0</x:v>
      </x:c>
      <x:c r="O173" s="30" t="str">
        <x:f>IF(G173="POSTED",IF(E173=N173,"OK","FAIL"),"N/A")</x:f>
        <x:v>N/A</x:v>
      </x:c>
    </x:row>
    <x:row r="174">
      <x:c r="A174" s="30" t="str">
        <x:v>txn-0173</x:v>
      </x:c>
      <x:c r="B174" s="30" t="str">
        <x:v>fin-bank-operating</x:v>
      </x:c>
      <x:c r="C174" s="32" t="n">
        <x:v>45839</x:v>
      </x:c>
      <x:c r="D174" s="34" t="n">
        <x:v>-5000</x:v>
      </x:c>
      <x:c r="E174" s="31" t="n">
        <x:v>-500000</x:v>
      </x:c>
      <x:c r="F174" s="30" t="str">
        <x:v>Inventory funding transfer</x:v>
      </x:c>
      <x:c r="G174" s="30" t="str">
        <x:v>MATCHED_TRANSFER</x:v>
      </x:c>
      <x:c r="H174" s="30" t="str">
        <x:v>TRANSFER</x:v>
      </x:c>
      <x:c r="I174" s="30" t="str">
        <x:v>transfer-0023</x:v>
      </x:c>
      <x:c r="J174" s="30" t="str">
        <x:v>imports/2025/operating-checking.xlsx</x:v>
      </x:c>
      <x:c r="K174" s="30" t="str"/>
      <x:c r="L174" s="32" t="n">
        <x:v>46254.5</x:v>
      </x:c>
      <x:c r="M174" s="32" t="n">
        <x:v>46254.5</x:v>
      </x:c>
      <x:c r="N174" s="31" t="n">
        <x:f>SUMIF('Posting Splits'!$B$2:$B$147,A174,'Posting Splits'!$D$2:$D$147)</x:f>
        <x:v>0</x:v>
      </x:c>
      <x:c r="O174" s="30" t="str">
        <x:f>IF(G174="POSTED",IF(E174=N174,"OK","FAIL"),"N/A")</x:f>
        <x:v>N/A</x:v>
      </x:c>
    </x:row>
    <x:row r="175">
      <x:c r="A175" s="30" t="str">
        <x:v>txn-0174</x:v>
      </x:c>
      <x:c r="B175" s="30" t="str">
        <x:v>fin-inventory</x:v>
      </x:c>
      <x:c r="C175" s="32" t="n">
        <x:v>45839</x:v>
      </x:c>
      <x:c r="D175" s="34" t="n">
        <x:v>5000</x:v>
      </x:c>
      <x:c r="E175" s="31" t="n">
        <x:v>500000</x:v>
      </x:c>
      <x:c r="F175" s="30" t="str">
        <x:v>Inventory funding received</x:v>
      </x:c>
      <x:c r="G175" s="30" t="str">
        <x:v>MATCHED_TRANSFER</x:v>
      </x:c>
      <x:c r="H175" s="30" t="str">
        <x:v>TRANSFER</x:v>
      </x:c>
      <x:c r="I175" s="30" t="str">
        <x:v>transfer-0023</x:v>
      </x:c>
      <x:c r="J175" s="30" t="str">
        <x:v>imports/2025/inventory-activity.csv</x:v>
      </x:c>
      <x:c r="K175" s="30" t="str"/>
      <x:c r="L175" s="32" t="n">
        <x:v>46254.5</x:v>
      </x:c>
      <x:c r="M175" s="32" t="n">
        <x:v>46254.5</x:v>
      </x:c>
      <x:c r="N175" s="31" t="n">
        <x:f>SUMIF('Posting Splits'!$B$2:$B$147,A175,'Posting Splits'!$D$2:$D$147)</x:f>
        <x:v>0</x:v>
      </x:c>
      <x:c r="O175" s="30" t="str">
        <x:f>IF(G175="POSTED",IF(E175=N175,"OK","FAIL"),"N/A")</x:f>
        <x:v>N/A</x:v>
      </x:c>
    </x:row>
    <x:row r="176">
      <x:c r="A176" s="30" t="str">
        <x:v>txn-0175</x:v>
      </x:c>
      <x:c r="B176" s="30" t="str">
        <x:v>fin-bank-savings</x:v>
      </x:c>
      <x:c r="C176" s="32" t="n">
        <x:v>45884</x:v>
      </x:c>
      <x:c r="D176" s="34" t="n">
        <x:v>45</x:v>
      </x:c>
      <x:c r="E176" s="31" t="n">
        <x:v>4500</x:v>
      </x:c>
      <x:c r="F176" s="30" t="str">
        <x:v>Savings interest</x:v>
      </x:c>
      <x:c r="G176" s="30" t="str">
        <x:v>POSTED</x:v>
      </x:c>
      <x:c r="H176" s="30" t="str">
        <x:v>MANUAL</x:v>
      </x:c>
      <x:c r="I176" s="30" t="str"/>
      <x:c r="J176" s="30" t="str">
        <x:v>imports/2025/savings-activity.csv</x:v>
      </x:c>
      <x:c r="K176" s="30" t="str"/>
      <x:c r="L176" s="32" t="n">
        <x:v>46254.5</x:v>
      </x:c>
      <x:c r="M176" s="32" t="n">
        <x:v>46254.5</x:v>
      </x:c>
      <x:c r="N176" s="31" t="n">
        <x:f>SUMIF('Posting Splits'!$B$2:$B$147,A176,'Posting Splits'!$D$2:$D$147)</x:f>
        <x:v>4500</x:v>
      </x:c>
      <x:c r="O176" s="30" t="str">
        <x:f>IF(G176="POSTED",IF(E176=N176,"OK","FAIL"),"N/A")</x:f>
        <x:v>OK</x:v>
      </x:c>
    </x:row>
    <x:row r="177">
      <x:c r="A177" s="30" t="str">
        <x:v>txn-0176</x:v>
      </x:c>
      <x:c r="B177" s="30" t="str">
        <x:v>fin-bank-operating</x:v>
      </x:c>
      <x:c r="C177" s="32" t="n">
        <x:v>45902</x:v>
      </x:c>
      <x:c r="D177" s="34" t="n">
        <x:v>-1200</x:v>
      </x:c>
      <x:c r="E177" s="31" t="n">
        <x:v>-120000</x:v>
      </x:c>
      <x:c r="F177" s="30" t="str">
        <x:v>Owner distribution</x:v>
      </x:c>
      <x:c r="G177" s="30" t="str">
        <x:v>POSTED</x:v>
      </x:c>
      <x:c r="H177" s="30" t="str">
        <x:v>MANUAL</x:v>
      </x:c>
      <x:c r="I177" s="30" t="str"/>
      <x:c r="J177" s="30" t="str">
        <x:v>imports/2025/operating-checking.xlsx</x:v>
      </x:c>
      <x:c r="K177" s="30" t="str"/>
      <x:c r="L177" s="32" t="n">
        <x:v>46254.5</x:v>
      </x:c>
      <x:c r="M177" s="32" t="n">
        <x:v>46254.5</x:v>
      </x:c>
      <x:c r="N177" s="31" t="n">
        <x:f>SUMIF('Posting Splits'!$B$2:$B$147,A177,'Posting Splits'!$D$2:$D$147)</x:f>
        <x:v>-120000</x:v>
      </x:c>
      <x:c r="O177" s="30" t="str">
        <x:f>IF(G177="POSTED",IF(E177=N177,"OK","FAIL"),"N/A")</x:f>
        <x:v>OK</x:v>
      </x:c>
    </x:row>
    <x:row r="178">
      <x:c r="A178" s="30" t="str">
        <x:v>txn-0177</x:v>
      </x:c>
      <x:c r="B178" s="30" t="str">
        <x:v>fin-bank-operating</x:v>
      </x:c>
      <x:c r="C178" s="32" t="n">
        <x:v>45931</x:v>
      </x:c>
      <x:c r="D178" s="34" t="n">
        <x:v>-1000</x:v>
      </x:c>
      <x:c r="E178" s="31" t="n">
        <x:v>-100000</x:v>
      </x:c>
      <x:c r="F178" s="30" t="str">
        <x:v>Term loan payment</x:v>
      </x:c>
      <x:c r="G178" s="30" t="str">
        <x:v>POSTED</x:v>
      </x:c>
      <x:c r="H178" s="30" t="str">
        <x:v>MANUAL</x:v>
      </x:c>
      <x:c r="I178" s="30" t="str"/>
      <x:c r="J178" s="30" t="str">
        <x:v>imports/2025/operating-checking.xlsx</x:v>
      </x:c>
      <x:c r="K178" s="30" t="str"/>
      <x:c r="L178" s="32" t="n">
        <x:v>46254.5</x:v>
      </x:c>
      <x:c r="M178" s="32" t="n">
        <x:v>46254.5</x:v>
      </x:c>
      <x:c r="N178" s="31" t="n">
        <x:f>SUMIF('Posting Splits'!$B$2:$B$147,A178,'Posting Splits'!$D$2:$D$147)</x:f>
        <x:v>-100000</x:v>
      </x:c>
      <x:c r="O178" s="30" t="str">
        <x:f>IF(G178="POSTED",IF(E178=N178,"OK","FAIL"),"N/A")</x:f>
        <x:v>OK</x:v>
      </x:c>
    </x:row>
    <x:row r="179">
      <x:c r="A179" s="30" t="str">
        <x:v>txn-0178</x:v>
      </x:c>
      <x:c r="B179" s="30" t="str">
        <x:v>fin-bank-operating</x:v>
      </x:c>
      <x:c r="C179" s="32" t="n">
        <x:v>45962</x:v>
      </x:c>
      <x:c r="D179" s="34" t="n">
        <x:v>-1200</x:v>
      </x:c>
      <x:c r="E179" s="31" t="n">
        <x:v>-120000</x:v>
      </x:c>
      <x:c r="F179" s="30" t="str">
        <x:v>Prepaid annual insurance</x:v>
      </x:c>
      <x:c r="G179" s="30" t="str">
        <x:v>POSTED</x:v>
      </x:c>
      <x:c r="H179" s="30" t="str">
        <x:v>MANUAL</x:v>
      </x:c>
      <x:c r="I179" s="30" t="str"/>
      <x:c r="J179" s="30" t="str">
        <x:v>imports/2025/operating-checking.xlsx</x:v>
      </x:c>
      <x:c r="K179" s="30" t="str"/>
      <x:c r="L179" s="32" t="n">
        <x:v>46254.5</x:v>
      </x:c>
      <x:c r="M179" s="32" t="n">
        <x:v>46254.5</x:v>
      </x:c>
      <x:c r="N179" s="31" t="n">
        <x:f>SUMIF('Posting Splits'!$B$2:$B$147,A179,'Posting Splits'!$D$2:$D$147)</x:f>
        <x:v>-120000</x:v>
      </x:c>
      <x:c r="O179" s="30" t="str">
        <x:f>IF(G179="POSTED",IF(E179=N179,"OK","FAIL"),"N/A")</x:f>
        <x:v>OK</x:v>
      </x:c>
    </x:row>
    <x:row r="180">
      <x:c r="A180" s="30" t="str">
        <x:v>txn-0179</x:v>
      </x:c>
      <x:c r="B180" s="30" t="str">
        <x:v>fin-inventory</x:v>
      </x:c>
      <x:c r="C180" s="32" t="n">
        <x:v>46022</x:v>
      </x:c>
      <x:c r="D180" s="34" t="n">
        <x:v>-7800</x:v>
      </x:c>
      <x:c r="E180" s="31" t="n">
        <x:v>-780000</x:v>
      </x:c>
      <x:c r="F180" s="30" t="str">
        <x:v>Year-end inventory cost adjustment</x:v>
      </x:c>
      <x:c r="G180" s="30" t="str">
        <x:v>POSTED</x:v>
      </x:c>
      <x:c r="H180" s="30" t="str">
        <x:v>MANUAL</x:v>
      </x:c>
      <x:c r="I180" s="30" t="str"/>
      <x:c r="J180" s="30" t="str">
        <x:v>imports/2025/inventory-activity.csv</x:v>
      </x:c>
      <x:c r="K180" s="30" t="str"/>
      <x:c r="L180" s="32" t="n">
        <x:v>46254.5</x:v>
      </x:c>
      <x:c r="M180" s="32" t="n">
        <x:v>46254.5</x:v>
      </x:c>
      <x:c r="N180" s="31" t="n">
        <x:f>SUMIF('Posting Splits'!$B$2:$B$147,A180,'Posting Splits'!$D$2:$D$147)</x:f>
        <x:v>-780000</x:v>
      </x:c>
      <x:c r="O180" s="30" t="str">
        <x:f>IF(G180="POSTED",IF(E180=N180,"OK","FAIL"),"N/A")</x:f>
        <x:v>OK</x:v>
      </x:c>
    </x:row>
    <x:row r="181">
      <x:c r="A181" s="30" t="str">
        <x:v>txn-0180</x:v>
      </x:c>
      <x:c r="B181" s="30" t="str">
        <x:v>fin-bank-operating</x:v>
      </x:c>
      <x:c r="C181" s="32" t="n">
        <x:v>46020</x:v>
      </x:c>
      <x:c r="D181" s="34" t="n">
        <x:v>-99</x:v>
      </x:c>
      <x:c r="E181" s="31" t="n">
        <x:v>-9900</x:v>
      </x:c>
      <x:c r="F181" s="30" t="str">
        <x:v>Excluded personal purchase example</x:v>
      </x:c>
      <x:c r="G181" s="30" t="str">
        <x:v>EXCLUDED</x:v>
      </x:c>
      <x:c r="H181" s="30" t="str">
        <x:v>NONE</x:v>
      </x:c>
      <x:c r="I181" s="30" t="str"/>
      <x:c r="J181" s="30" t="str">
        <x:v>imports/2025/operating-checking.xlsx</x:v>
      </x:c>
      <x:c r="K181" s="30" t="str"/>
      <x:c r="L181" s="32" t="n">
        <x:v>46254.5</x:v>
      </x:c>
      <x:c r="M181" s="32" t="n">
        <x:v>46254.5</x:v>
      </x:c>
      <x:c r="N181" s="31" t="n">
        <x:f>SUMIF('Posting Splits'!$B$2:$B$147,A181,'Posting Splits'!$D$2:$D$147)</x:f>
        <x:v>0</x:v>
      </x:c>
      <x:c r="O181" s="30" t="str">
        <x:f>IF(G181="POSTED",IF(E181=N181,"OK","FAIL"),"N/A")</x:f>
        <x:v>N/A</x:v>
      </x:c>
    </x:row>
    <x:row r="182">
      <x:c r="A182" s="30" t="str">
        <x:v>txn-0181</x:v>
      </x:c>
      <x:c r="B182" s="30" t="str">
        <x:v>fin-bank-operating</x:v>
      </x:c>
      <x:c r="C182" s="32" t="n">
        <x:v>46021</x:v>
      </x:c>
      <x:c r="D182" s="34" t="n">
        <x:v>-300</x:v>
      </x:c>
      <x:c r="E182" s="31" t="n">
        <x:v>-30000</x:v>
      </x:c>
      <x:c r="F182" s="30" t="str">
        <x:v>Pending invoice example</x:v>
      </x:c>
      <x:c r="G182" s="30" t="str">
        <x:v>PENDING</x:v>
      </x:c>
      <x:c r="H182" s="30" t="str">
        <x:v>NONE</x:v>
      </x:c>
      <x:c r="I182" s="30" t="str"/>
      <x:c r="J182" s="30" t="str">
        <x:v>imports/2025/operating-checking.xlsx</x:v>
      </x:c>
      <x:c r="K182" s="30" t="str"/>
      <x:c r="L182" s="32" t="n">
        <x:v>46254.5</x:v>
      </x:c>
      <x:c r="M182" s="32" t="n">
        <x:v>46254.5</x:v>
      </x:c>
      <x:c r="N182" s="31" t="n">
        <x:f>SUMIF('Posting Splits'!$B$2:$B$147,A182,'Posting Splits'!$D$2:$D$147)</x:f>
        <x:v>0</x:v>
      </x:c>
      <x:c r="O182" s="30" t="str">
        <x:f>IF(G182="POSTED",IF(E182=N182,"OK","FAIL"),"N/A")</x:f>
        <x:v>N/A</x:v>
      </x:c>
    </x:row>
    <x:row r="183">
      <x:c r="A183" s="30" t="str">
        <x:v>txn-0182</x:v>
      </x:c>
      <x:c r="B183" s="30" t="str">
        <x:v>fin-inventory</x:v>
      </x:c>
      <x:c r="C183" s="32" t="n">
        <x:v>46023</x:v>
      </x:c>
      <x:c r="D183" s="34" t="n">
        <x:v>7800</x:v>
      </x:c>
      <x:c r="E183" s="31" t="n">
        <x:v>780000</x:v>
      </x:c>
      <x:c r="F183" s="30" t="str">
        <x:v>Reverse prior-year inventory cost adjustment</x:v>
      </x:c>
      <x:c r="G183" s="30" t="str">
        <x:v>POSTED</x:v>
      </x:c>
      <x:c r="H183" s="30" t="str">
        <x:v>MANUAL</x:v>
      </x:c>
      <x:c r="I183" s="30" t="str"/>
      <x:c r="J183" s="30" t="str">
        <x:v>imports/2026/inventory-activity.csv</x:v>
      </x:c>
      <x:c r="K183" s="30" t="str"/>
      <x:c r="L183" s="32" t="n">
        <x:v>46254.5</x:v>
      </x:c>
      <x:c r="M183" s="32" t="n">
        <x:v>46254.5</x:v>
      </x:c>
      <x:c r="N183" s="31" t="n">
        <x:f>SUMIF('Posting Splits'!$B$2:$B$147,A183,'Posting Splits'!$D$2:$D$147)</x:f>
        <x:v>780000</x:v>
      </x:c>
      <x:c r="O183" s="30" t="str">
        <x:f>IF(G183="POSTED",IF(E183=N183,"OK","FAIL"),"N/A")</x:f>
        <x:v>OK</x:v>
      </x:c>
    </x:row>
    <x:row r="184">
      <x:c r="A184" s="30" t="str">
        <x:v>txn-0183</x:v>
      </x:c>
      <x:c r="B184" s="30" t="str">
        <x:v>fin-bank-operating</x:v>
      </x:c>
      <x:c r="C184" s="32" t="n">
        <x:v>46025</x:v>
      </x:c>
      <x:c r="D184" s="34" t="n">
        <x:v>2000</x:v>
      </x:c>
      <x:c r="E184" s="31" t="n">
        <x:v>200000</x:v>
      </x:c>
      <x:c r="F184" s="30" t="str">
        <x:v>Owner capital contribution</x:v>
      </x:c>
      <x:c r="G184" s="30" t="str">
        <x:v>POSTED</x:v>
      </x:c>
      <x:c r="H184" s="30" t="str">
        <x:v>MANUAL</x:v>
      </x:c>
      <x:c r="I184" s="30" t="str"/>
      <x:c r="J184" s="30" t="str">
        <x:v>imports/2026/operating-checking.qbo</x:v>
      </x:c>
      <x:c r="K184" s="30" t="str"/>
      <x:c r="L184" s="32" t="n">
        <x:v>46254.5</x:v>
      </x:c>
      <x:c r="M184" s="32" t="n">
        <x:v>46254.5</x:v>
      </x:c>
      <x:c r="N184" s="31" t="n">
        <x:f>SUMIF('Posting Splits'!$B$2:$B$147,A184,'Posting Splits'!$D$2:$D$147)</x:f>
        <x:v>200000</x:v>
      </x:c>
      <x:c r="O184" s="30" t="str">
        <x:f>IF(G184="POSTED",IF(E184=N184,"OK","FAIL"),"N/A")</x:f>
        <x:v>OK</x:v>
      </x:c>
    </x:row>
    <x:row r="185">
      <x:c r="A185" s="30" t="str">
        <x:v>txn-0184</x:v>
      </x:c>
      <x:c r="B185" s="30" t="str">
        <x:v>fin-bank-operating</x:v>
      </x:c>
      <x:c r="C185" s="32" t="n">
        <x:v>46042</x:v>
      </x:c>
      <x:c r="D185" s="34" t="n">
        <x:v>2500</x:v>
      </x:c>
      <x:c r="E185" s="31" t="n">
        <x:v>250000</x:v>
      </x:c>
      <x:c r="F185" s="30" t="str">
        <x:v>Short-term loan proceeds</x:v>
      </x:c>
      <x:c r="G185" s="30" t="str">
        <x:v>POSTED</x:v>
      </x:c>
      <x:c r="H185" s="30" t="str">
        <x:v>MANUAL</x:v>
      </x:c>
      <x:c r="I185" s="30" t="str"/>
      <x:c r="J185" s="30" t="str">
        <x:v>imports/2026/operating-checking.qbo</x:v>
      </x:c>
      <x:c r="K185" s="30" t="str"/>
      <x:c r="L185" s="32" t="n">
        <x:v>46254.5</x:v>
      </x:c>
      <x:c r="M185" s="32" t="n">
        <x:v>46254.5</x:v>
      </x:c>
      <x:c r="N185" s="31" t="n">
        <x:f>SUMIF('Posting Splits'!$B$2:$B$147,A185,'Posting Splits'!$D$2:$D$147)</x:f>
        <x:v>250000</x:v>
      </x:c>
      <x:c r="O185" s="30" t="str">
        <x:f>IF(G185="POSTED",IF(E185=N185,"OK","FAIL"),"N/A")</x:f>
        <x:v>OK</x:v>
      </x:c>
    </x:row>
    <x:row r="186">
      <x:c r="A186" s="30" t="str">
        <x:v>txn-0185</x:v>
      </x:c>
      <x:c r="B186" s="30" t="str">
        <x:v>fin-card</x:v>
      </x:c>
      <x:c r="C186" s="32" t="n">
        <x:v>46057</x:v>
      </x:c>
      <x:c r="D186" s="34" t="n">
        <x:v>-300</x:v>
      </x:c>
      <x:c r="E186" s="31" t="n">
        <x:v>-30000</x:v>
      </x:c>
      <x:c r="F186" s="30" t="str">
        <x:v>Operations software subscription</x:v>
      </x:c>
      <x:c r="G186" s="30" t="str">
        <x:v>POSTED</x:v>
      </x:c>
      <x:c r="H186" s="30" t="str">
        <x:v>MANUAL</x:v>
      </x:c>
      <x:c r="I186" s="30" t="str"/>
      <x:c r="J186" s="30" t="str">
        <x:v>imports/2026/business-card.csv</x:v>
      </x:c>
      <x:c r="K186" s="30" t="str"/>
      <x:c r="L186" s="32" t="n">
        <x:v>46254.5</x:v>
      </x:c>
      <x:c r="M186" s="32" t="n">
        <x:v>46254.5</x:v>
      </x:c>
      <x:c r="N186" s="31" t="n">
        <x:f>SUMIF('Posting Splits'!$B$2:$B$147,A186,'Posting Splits'!$D$2:$D$147)</x:f>
        <x:v>-30000</x:v>
      </x:c>
      <x:c r="O186" s="30" t="str">
        <x:f>IF(G186="POSTED",IF(E186=N186,"OK","FAIL"),"N/A")</x:f>
        <x:v>OK</x:v>
      </x:c>
    </x:row>
    <x:row r="187">
      <x:c r="A187" s="30" t="str">
        <x:v>txn-0186</x:v>
      </x:c>
      <x:c r="B187" s="30" t="str">
        <x:v>fin-card</x:v>
      </x:c>
      <x:c r="C187" s="32" t="n">
        <x:v>46071</x:v>
      </x:c>
      <x:c r="D187" s="34" t="n">
        <x:v>-900</x:v>
      </x:c>
      <x:c r="E187" s="31" t="n">
        <x:v>-90000</x:v>
      </x:c>
      <x:c r="F187" s="30" t="str">
        <x:v>Seasonal advertising campaign</x:v>
      </x:c>
      <x:c r="G187" s="30" t="str">
        <x:v>POSTED</x:v>
      </x:c>
      <x:c r="H187" s="30" t="str">
        <x:v>MANUAL</x:v>
      </x:c>
      <x:c r="I187" s="30" t="str"/>
      <x:c r="J187" s="30" t="str">
        <x:v>imports/2026/business-card.csv</x:v>
      </x:c>
      <x:c r="K187" s="30" t="str"/>
      <x:c r="L187" s="32" t="n">
        <x:v>46254.5</x:v>
      </x:c>
      <x:c r="M187" s="32" t="n">
        <x:v>46254.5</x:v>
      </x:c>
      <x:c r="N187" s="31" t="n">
        <x:f>SUMIF('Posting Splits'!$B$2:$B$147,A187,'Posting Splits'!$D$2:$D$147)</x:f>
        <x:v>-90000</x:v>
      </x:c>
      <x:c r="O187" s="30" t="str">
        <x:f>IF(G187="POSTED",IF(E187=N187,"OK","FAIL"),"N/A")</x:f>
        <x:v>OK</x:v>
      </x:c>
    </x:row>
    <x:row r="188">
      <x:c r="A188" s="30" t="str">
        <x:v>txn-0187</x:v>
      </x:c>
      <x:c r="B188" s="30" t="str">
        <x:v>fin-bank-operating</x:v>
      </x:c>
      <x:c r="C188" s="32" t="n">
        <x:v>46086</x:v>
      </x:c>
      <x:c r="D188" s="34" t="n">
        <x:v>-1000</x:v>
      </x:c>
      <x:c r="E188" s="31" t="n">
        <x:v>-100000</x:v>
      </x:c>
      <x:c r="F188" s="30" t="str">
        <x:v>Business card payment</x:v>
      </x:c>
      <x:c r="G188" s="30" t="str">
        <x:v>MATCHED_TRANSFER</x:v>
      </x:c>
      <x:c r="H188" s="30" t="str">
        <x:v>TRANSFER</x:v>
      </x:c>
      <x:c r="I188" s="30" t="str">
        <x:v>transfer-0024</x:v>
      </x:c>
      <x:c r="J188" s="30" t="str">
        <x:v>imports/2026/operating-checking.qbo</x:v>
      </x:c>
      <x:c r="K188" s="30" t="str"/>
      <x:c r="L188" s="32" t="n">
        <x:v>46254.5</x:v>
      </x:c>
      <x:c r="M188" s="32" t="n">
        <x:v>46254.5</x:v>
      </x:c>
      <x:c r="N188" s="31" t="n">
        <x:f>SUMIF('Posting Splits'!$B$2:$B$147,A188,'Posting Splits'!$D$2:$D$147)</x:f>
        <x:v>0</x:v>
      </x:c>
      <x:c r="O188" s="30" t="str">
        <x:f>IF(G188="POSTED",IF(E188=N188,"OK","FAIL"),"N/A")</x:f>
        <x:v>N/A</x:v>
      </x:c>
    </x:row>
    <x:row r="189">
      <x:c r="A189" s="30" t="str">
        <x:v>txn-0188</x:v>
      </x:c>
      <x:c r="B189" s="30" t="str">
        <x:v>fin-card</x:v>
      </x:c>
      <x:c r="C189" s="32" t="n">
        <x:v>46086</x:v>
      </x:c>
      <x:c r="D189" s="34" t="n">
        <x:v>1000</x:v>
      </x:c>
      <x:c r="E189" s="31" t="n">
        <x:v>100000</x:v>
      </x:c>
      <x:c r="F189" s="30" t="str">
        <x:v>Payment received</x:v>
      </x:c>
      <x:c r="G189" s="30" t="str">
        <x:v>MATCHED_TRANSFER</x:v>
      </x:c>
      <x:c r="H189" s="30" t="str">
        <x:v>TRANSFER</x:v>
      </x:c>
      <x:c r="I189" s="30" t="str">
        <x:v>transfer-0024</x:v>
      </x:c>
      <x:c r="J189" s="30" t="str">
        <x:v>imports/2026/business-card.csv</x:v>
      </x:c>
      <x:c r="K189" s="30" t="str"/>
      <x:c r="L189" s="32" t="n">
        <x:v>46254.5</x:v>
      </x:c>
      <x:c r="M189" s="32" t="n">
        <x:v>46254.5</x:v>
      </x:c>
      <x:c r="N189" s="31" t="n">
        <x:f>SUMIF('Posting Splits'!$B$2:$B$147,A189,'Posting Splits'!$D$2:$D$147)</x:f>
        <x:v>0</x:v>
      </x:c>
      <x:c r="O189" s="30" t="str">
        <x:f>IF(G189="POSTED",IF(E189=N189,"OK","FAIL"),"N/A")</x:f>
        <x:v>N/A</x:v>
      </x:c>
    </x:row>
    <x:row r="190">
      <x:c r="A190" s="30" t="str">
        <x:v>txn-0189</x:v>
      </x:c>
      <x:c r="B190" s="30" t="str">
        <x:v>fin-bank-operating</x:v>
      </x:c>
      <x:c r="C190" s="32" t="n">
        <x:v>46113</x:v>
      </x:c>
      <x:c r="D190" s="34" t="n">
        <x:v>-4000</x:v>
      </x:c>
      <x:c r="E190" s="31" t="n">
        <x:v>-400000</x:v>
      </x:c>
      <x:c r="F190" s="30" t="str">
        <x:v>Inventory funding transfer</x:v>
      </x:c>
      <x:c r="G190" s="30" t="str">
        <x:v>MATCHED_TRANSFER</x:v>
      </x:c>
      <x:c r="H190" s="30" t="str">
        <x:v>TRANSFER</x:v>
      </x:c>
      <x:c r="I190" s="30" t="str">
        <x:v>transfer-0025</x:v>
      </x:c>
      <x:c r="J190" s="30" t="str">
        <x:v>imports/2026/operating-checking.qbo</x:v>
      </x:c>
      <x:c r="K190" s="30" t="str"/>
      <x:c r="L190" s="32" t="n">
        <x:v>46254.5</x:v>
      </x:c>
      <x:c r="M190" s="32" t="n">
        <x:v>46254.5</x:v>
      </x:c>
      <x:c r="N190" s="31" t="n">
        <x:f>SUMIF('Posting Splits'!$B$2:$B$147,A190,'Posting Splits'!$D$2:$D$147)</x:f>
        <x:v>0</x:v>
      </x:c>
      <x:c r="O190" s="30" t="str">
        <x:f>IF(G190="POSTED",IF(E190=N190,"OK","FAIL"),"N/A")</x:f>
        <x:v>N/A</x:v>
      </x:c>
    </x:row>
    <x:row r="191">
      <x:c r="A191" s="30" t="str">
        <x:v>txn-0190</x:v>
      </x:c>
      <x:c r="B191" s="30" t="str">
        <x:v>fin-inventory</x:v>
      </x:c>
      <x:c r="C191" s="32" t="n">
        <x:v>46113</x:v>
      </x:c>
      <x:c r="D191" s="34" t="n">
        <x:v>4000</x:v>
      </x:c>
      <x:c r="E191" s="31" t="n">
        <x:v>400000</x:v>
      </x:c>
      <x:c r="F191" s="30" t="str">
        <x:v>Inventory funding received</x:v>
      </x:c>
      <x:c r="G191" s="30" t="str">
        <x:v>MATCHED_TRANSFER</x:v>
      </x:c>
      <x:c r="H191" s="30" t="str">
        <x:v>TRANSFER</x:v>
      </x:c>
      <x:c r="I191" s="30" t="str">
        <x:v>transfer-0025</x:v>
      </x:c>
      <x:c r="J191" s="30" t="str">
        <x:v>imports/2026/inventory-activity.csv</x:v>
      </x:c>
      <x:c r="K191" s="30" t="str"/>
      <x:c r="L191" s="32" t="n">
        <x:v>46254.5</x:v>
      </x:c>
      <x:c r="M191" s="32" t="n">
        <x:v>46254.5</x:v>
      </x:c>
      <x:c r="N191" s="31" t="n">
        <x:f>SUMIF('Posting Splits'!$B$2:$B$147,A191,'Posting Splits'!$D$2:$D$147)</x:f>
        <x:v>0</x:v>
      </x:c>
      <x:c r="O191" s="30" t="str">
        <x:f>IF(G191="POSTED",IF(E191=N191,"OK","FAIL"),"N/A")</x:f>
        <x:v>N/A</x:v>
      </x:c>
    </x:row>
    <x:row r="192">
      <x:c r="A192" s="30" t="str">
        <x:v>txn-0191</x:v>
      </x:c>
      <x:c r="B192" s="30" t="str">
        <x:v>fin-bank-operating</x:v>
      </x:c>
      <x:c r="C192" s="32" t="n">
        <x:v>46154</x:v>
      </x:c>
      <x:c r="D192" s="34" t="n">
        <x:v>-1800</x:v>
      </x:c>
      <x:c r="E192" s="31" t="n">
        <x:v>-180000</x:v>
      </x:c>
      <x:c r="F192" s="30" t="str">
        <x:v>Computer equipment purchase</x:v>
      </x:c>
      <x:c r="G192" s="30" t="str">
        <x:v>POSTED</x:v>
      </x:c>
      <x:c r="H192" s="30" t="str">
        <x:v>MANUAL</x:v>
      </x:c>
      <x:c r="I192" s="30" t="str"/>
      <x:c r="J192" s="30" t="str">
        <x:v>imports/2026/operating-checking.qbo</x:v>
      </x:c>
      <x:c r="K192" s="30" t="str"/>
      <x:c r="L192" s="32" t="n">
        <x:v>46254.5</x:v>
      </x:c>
      <x:c r="M192" s="32" t="n">
        <x:v>46254.5</x:v>
      </x:c>
      <x:c r="N192" s="31" t="n">
        <x:f>SUMIF('Posting Splits'!$B$2:$B$147,A192,'Posting Splits'!$D$2:$D$147)</x:f>
        <x:v>-180000</x:v>
      </x:c>
      <x:c r="O192" s="30" t="str">
        <x:f>IF(G192="POSTED",IF(E192=N192,"OK","FAIL"),"N/A")</x:f>
        <x:v>OK</x:v>
      </x:c>
    </x:row>
    <x:row r="193">
      <x:c r="A193" s="30" t="str">
        <x:v>txn-0192</x:v>
      </x:c>
      <x:c r="B193" s="30" t="str">
        <x:v>fin-bank-operating</x:v>
      </x:c>
      <x:c r="C193" s="32" t="n">
        <x:v>46183</x:v>
      </x:c>
      <x:c r="D193" s="34" t="n">
        <x:v>-700</x:v>
      </x:c>
      <x:c r="E193" s="31" t="n">
        <x:v>-70000</x:v>
      </x:c>
      <x:c r="F193" s="30" t="str">
        <x:v>Term loan payment</x:v>
      </x:c>
      <x:c r="G193" s="30" t="str">
        <x:v>POSTED</x:v>
      </x:c>
      <x:c r="H193" s="30" t="str">
        <x:v>MANUAL</x:v>
      </x:c>
      <x:c r="I193" s="30" t="str"/>
      <x:c r="J193" s="30" t="str">
        <x:v>imports/2026/operating-checking.qbo</x:v>
      </x:c>
      <x:c r="K193" s="30" t="str"/>
      <x:c r="L193" s="32" t="n">
        <x:v>46254.5</x:v>
      </x:c>
      <x:c r="M193" s="32" t="n">
        <x:v>46254.5</x:v>
      </x:c>
      <x:c r="N193" s="31" t="n">
        <x:f>SUMIF('Posting Splits'!$B$2:$B$147,A193,'Posting Splits'!$D$2:$D$147)</x:f>
        <x:v>-70000</x:v>
      </x:c>
      <x:c r="O193" s="30" t="str">
        <x:f>IF(G193="POSTED",IF(E193=N193,"OK","FAIL"),"N/A")</x:f>
        <x:v>OK</x:v>
      </x:c>
    </x:row>
    <x:row r="194">
      <x:c r="A194" s="30" t="str">
        <x:v>txn-0193</x:v>
      </x:c>
      <x:c r="B194" s="30" t="str">
        <x:v>fin-bank-operating</x:v>
      </x:c>
      <x:c r="C194" s="32" t="n">
        <x:v>46211</x:v>
      </x:c>
      <x:c r="D194" s="34" t="n">
        <x:v>-800</x:v>
      </x:c>
      <x:c r="E194" s="31" t="n">
        <x:v>-80000</x:v>
      </x:c>
      <x:c r="F194" s="30" t="str">
        <x:v>Owner distribution</x:v>
      </x:c>
      <x:c r="G194" s="30" t="str">
        <x:v>POSTED</x:v>
      </x:c>
      <x:c r="H194" s="30" t="str">
        <x:v>MANUAL</x:v>
      </x:c>
      <x:c r="I194" s="30" t="str"/>
      <x:c r="J194" s="30" t="str">
        <x:v>imports/2026/operating-checking.qbo</x:v>
      </x:c>
      <x:c r="K194" s="30" t="str"/>
      <x:c r="L194" s="32" t="n">
        <x:v>46254.5</x:v>
      </x:c>
      <x:c r="M194" s="32" t="n">
        <x:v>46254.5</x:v>
      </x:c>
      <x:c r="N194" s="31" t="n">
        <x:f>SUMIF('Posting Splits'!$B$2:$B$147,A194,'Posting Splits'!$D$2:$D$147)</x:f>
        <x:v>-80000</x:v>
      </x:c>
      <x:c r="O194" s="30" t="str">
        <x:f>IF(G194="POSTED",IF(E194=N194,"OK","FAIL"),"N/A")</x:f>
        <x:v>OK</x:v>
      </x:c>
    </x:row>
    <x:row r="195">
      <x:c r="A195" s="30" t="str">
        <x:v>txn-0194</x:v>
      </x:c>
      <x:c r="B195" s="30" t="str">
        <x:v>fin-bank-operating</x:v>
      </x:c>
      <x:c r="C195" s="32" t="n">
        <x:v>46248</x:v>
      </x:c>
      <x:c r="D195" s="34" t="n">
        <x:v>650</x:v>
      </x:c>
      <x:c r="E195" s="31" t="n">
        <x:v>65000</x:v>
      </x:c>
      <x:c r="F195" s="30" t="str">
        <x:v>Consulting service receipt</x:v>
      </x:c>
      <x:c r="G195" s="30" t="str">
        <x:v>POSTED</x:v>
      </x:c>
      <x:c r="H195" s="30" t="str">
        <x:v>MANUAL</x:v>
      </x:c>
      <x:c r="I195" s="30" t="str"/>
      <x:c r="J195" s="30" t="str">
        <x:v>imports/2026/operating-checking.qbo</x:v>
      </x:c>
      <x:c r="K195" s="30" t="str"/>
      <x:c r="L195" s="32" t="n">
        <x:v>46254.5</x:v>
      </x:c>
      <x:c r="M195" s="32" t="n">
        <x:v>46254.5</x:v>
      </x:c>
      <x:c r="N195" s="31" t="n">
        <x:f>SUMIF('Posting Splits'!$B$2:$B$147,A195,'Posting Splits'!$D$2:$D$147)</x:f>
        <x:v>65000</x:v>
      </x:c>
      <x:c r="O195" s="30" t="str">
        <x:f>IF(G195="POSTED",IF(E195=N195,"OK","FAIL"),"N/A")</x:f>
        <x:v>OK</x:v>
      </x:c>
    </x:row>
    <x:row r="196">
      <x:c r="A196" s="30" t="str">
        <x:v>txn-0195</x:v>
      </x:c>
      <x:c r="B196" s="30" t="str">
        <x:v>fin-inventory</x:v>
      </x:c>
      <x:c r="C196" s="32" t="n">
        <x:v>46265</x:v>
      </x:c>
      <x:c r="D196" s="34" t="n">
        <x:v>-6500</x:v>
      </x:c>
      <x:c r="E196" s="31" t="n">
        <x:v>-650000</x:v>
      </x:c>
      <x:c r="F196" s="30" t="str">
        <x:v>Interim inventory cost adjustment</x:v>
      </x:c>
      <x:c r="G196" s="30" t="str">
        <x:v>POSTED</x:v>
      </x:c>
      <x:c r="H196" s="30" t="str">
        <x:v>MANUAL</x:v>
      </x:c>
      <x:c r="I196" s="30" t="str"/>
      <x:c r="J196" s="30" t="str">
        <x:v>imports/2026/inventory-activity.csv</x:v>
      </x:c>
      <x:c r="K196" s="30" t="str"/>
      <x:c r="L196" s="32" t="n">
        <x:v>46254.5</x:v>
      </x:c>
      <x:c r="M196" s="32" t="n">
        <x:v>46254.5</x:v>
      </x:c>
      <x:c r="N196" s="31" t="n">
        <x:f>SUMIF('Posting Splits'!$B$2:$B$147,A196,'Posting Splits'!$D$2:$D$147)</x:f>
        <x:v>-650000</x:v>
      </x:c>
      <x:c r="O196" s="30" t="str">
        <x:f>IF(G196="POSTED",IF(E196=N196,"OK","FAIL"),"N/A")</x:f>
        <x:v>OK</x:v>
      </x:c>
    </x:row>
    <x:row r="197">
      <x:c r="A197" s="30" t="str">
        <x:v>txn-0196</x:v>
      </x:c>
      <x:c r="B197" s="30" t="str">
        <x:v>fin-bank-operating</x:v>
      </x:c>
      <x:c r="C197" s="32" t="n">
        <x:v>46254</x:v>
      </x:c>
      <x:c r="D197" s="34" t="n">
        <x:v>-425</x:v>
      </x:c>
      <x:c r="E197" s="31" t="n">
        <x:v>-42500</x:v>
      </x:c>
      <x:c r="F197" s="30" t="str">
        <x:v>Pending freight invoice</x:v>
      </x:c>
      <x:c r="G197" s="30" t="str">
        <x:v>PENDING</x:v>
      </x:c>
      <x:c r="H197" s="30" t="str">
        <x:v>NONE</x:v>
      </x:c>
      <x:c r="I197" s="30" t="str"/>
      <x:c r="J197" s="30" t="str">
        <x:v>imports/2026/operating-checking.qbo</x:v>
      </x:c>
      <x:c r="K197" s="30" t="str"/>
      <x:c r="L197" s="32" t="n">
        <x:v>46254.5</x:v>
      </x:c>
      <x:c r="M197" s="32" t="n">
        <x:v>46254.5</x:v>
      </x:c>
      <x:c r="N197" s="31" t="n">
        <x:f>SUMIF('Posting Splits'!$B$2:$B$147,A197,'Posting Splits'!$D$2:$D$147)</x:f>
        <x:v>0</x:v>
      </x:c>
      <x:c r="O197" s="30" t="str">
        <x:f>IF(G197="POSTED",IF(E197=N197,"OK","FAIL"),"N/A")</x:f>
        <x:v>N/A</x:v>
      </x:c>
    </x:row>
    <x:row r="198">
      <x:c r="A198" s="30" t="str">
        <x:v>txn-0197</x:v>
      </x:c>
      <x:c r="B198" s="30" t="str">
        <x:v>fin-card</x:v>
      </x:c>
      <x:c r="C198" s="32" t="n">
        <x:v>46255</x:v>
      </x:c>
      <x:c r="D198" s="34" t="n">
        <x:v>-88</x:v>
      </x:c>
      <x:c r="E198" s="31" t="n">
        <x:v>-8800</x:v>
      </x:c>
      <x:c r="F198" s="30" t="str">
        <x:v>Excluded personal charge example</x:v>
      </x:c>
      <x:c r="G198" s="30" t="str">
        <x:v>EXCLUDED</x:v>
      </x:c>
      <x:c r="H198" s="30" t="str">
        <x:v>NONE</x:v>
      </x:c>
      <x:c r="I198" s="30" t="str"/>
      <x:c r="J198" s="30" t="str">
        <x:v>imports/2026/business-card.csv</x:v>
      </x:c>
      <x:c r="K198" s="30" t="str"/>
      <x:c r="L198" s="32" t="n">
        <x:v>46254.5</x:v>
      </x:c>
      <x:c r="M198" s="32" t="n">
        <x:v>46254.5</x:v>
      </x:c>
      <x:c r="N198" s="31" t="n">
        <x:f>SUMIF('Posting Splits'!$B$2:$B$147,A198,'Posting Splits'!$D$2:$D$147)</x:f>
        <x:v>0</x:v>
      </x:c>
      <x:c r="O198" s="30" t="str">
        <x:f>IF(G198="POSTED",IF(E198=N198,"OK","FAIL"),"N/A")</x:f>
        <x:v>N/A</x:v>
      </x:c>
    </x:row>
    <x:row r="199">
      <x:c r="A199" s="30" t="str">
        <x:v>txn-0198</x:v>
      </x:c>
      <x:c r="B199" s="30" t="str">
        <x:v>fin-bank-operating</x:v>
      </x:c>
      <x:c r="C199" s="32" t="n">
        <x:v>46280</x:v>
      </x:c>
      <x:c r="D199" s="34" t="n">
        <x:v>-1200</x:v>
      </x:c>
      <x:c r="E199" s="31" t="n">
        <x:v>-120000</x:v>
      </x:c>
      <x:c r="F199" s="30" t="str">
        <x:v>Future trade show after August as-of</x:v>
      </x:c>
      <x:c r="G199" s="30" t="str">
        <x:v>POSTED</x:v>
      </x:c>
      <x:c r="H199" s="30" t="str">
        <x:v>MANUAL</x:v>
      </x:c>
      <x:c r="I199" s="30" t="str"/>
      <x:c r="J199" s="30" t="str">
        <x:v>imports/2026/operating-checking.qbo</x:v>
      </x:c>
      <x:c r="K199" s="30" t="str"/>
      <x:c r="L199" s="32" t="n">
        <x:v>46254.5</x:v>
      </x:c>
      <x:c r="M199" s="32" t="n">
        <x:v>46254.5</x:v>
      </x:c>
      <x:c r="N199" s="31" t="n">
        <x:f>SUMIF('Posting Splits'!$B$2:$B$147,A199,'Posting Splits'!$D$2:$D$147)</x:f>
        <x:v>-120000</x:v>
      </x:c>
      <x:c r="O199" s="30" t="str">
        <x:f>IF(G199="POSTED",IF(E199=N199,"OK","FAIL"),"N/A")</x:f>
        <x:v>OK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8" hidden="0" customWidth="1"/>
    <x:col min="5" max="5" width="16" hidden="0" customWidth="1"/>
    <x:col min="6" max="6" width="5.329999923706055" hidden="0" customWidth="1"/>
  </x:cols>
  <x:sheetData>
    <x:row r="1" ht="32" customHeight="1">
      <x:c r="A1" s="29" t="str">
        <x:v>Split ID</x:v>
      </x:c>
      <x:c r="B1" s="29" t="str">
        <x:v>Transaction ID</x:v>
      </x:c>
      <x:c r="C1" s="29" t="str">
        <x:v>Chart Account ID</x:v>
      </x:c>
      <x:c r="D1" s="29" t="str">
        <x:v>Amount Minor</x:v>
      </x:c>
      <x:c r="E1" s="29" t="str">
        <x:v>Amount</x:v>
      </x:c>
      <x:c r="F1" s="29" t="str">
        <x:v>Memo</x:v>
      </x:c>
    </x:row>
    <x:row r="2">
      <x:c r="A2" s="30" t="str">
        <x:v>split-0001</x:v>
      </x:c>
      <x:c r="B2" s="30" t="str">
        <x:v>txn-0001</x:v>
      </x:c>
      <x:c r="C2" s="30" t="str">
        <x:v>ca-online-sales</x:v>
      </x:c>
      <x:c r="D2" s="31" t="n">
        <x:v>960000</x:v>
      </x:c>
      <x:c r="E2" s="34" t="n">
        <x:v>9600</x:v>
      </x:c>
      <x:c r="F2" s="30" t="str"/>
    </x:row>
    <x:row r="3">
      <x:c r="A3" s="30" t="str">
        <x:v>split-0002</x:v>
      </x:c>
      <x:c r="B3" s="30" t="str">
        <x:v>txn-0002</x:v>
      </x:c>
      <x:c r="C3" s="30" t="str">
        <x:v>ca-sales-returns</x:v>
      </x:c>
      <x:c r="D3" s="31" t="n">
        <x:v>-48000</x:v>
      </x:c>
      <x:c r="E3" s="34" t="n">
        <x:v>-480</x:v>
      </x:c>
      <x:c r="F3" s="30" t="str"/>
    </x:row>
    <x:row r="4">
      <x:c r="A4" s="30" t="str">
        <x:v>split-0003</x:v>
      </x:c>
      <x:c r="B4" s="30" t="str">
        <x:v>txn-0003</x:v>
      </x:c>
      <x:c r="C4" s="30" t="str">
        <x:v>ca-shipping-income</x:v>
      </x:c>
      <x:c r="D4" s="31" t="n">
        <x:v>10560</x:v>
      </x:c>
      <x:c r="E4" s="34" t="n">
        <x:v>105.6</x:v>
      </x:c>
      <x:c r="F4" s="30" t="str"/>
    </x:row>
    <x:row r="5">
      <x:c r="A5" s="30" t="str">
        <x:v>split-0004</x:v>
      </x:c>
      <x:c r="B5" s="30" t="str">
        <x:v>txn-0004</x:v>
      </x:c>
      <x:c r="C5" s="30" t="str">
        <x:v>ca-commission-fees</x:v>
      </x:c>
      <x:c r="D5" s="31" t="n">
        <x:v>-144000</x:v>
      </x:c>
      <x:c r="E5" s="34" t="n">
        <x:v>-1440</x:v>
      </x:c>
      <x:c r="F5" s="30" t="str"/>
    </x:row>
    <x:row r="6">
      <x:c r="A6" s="30" t="str">
        <x:v>split-0005</x:v>
      </x:c>
      <x:c r="B6" s="30" t="str">
        <x:v>txn-0005</x:v>
      </x:c>
      <x:c r="C6" s="30" t="str">
        <x:v>ca-fulfillment-fees</x:v>
      </x:c>
      <x:c r="D6" s="31" t="n">
        <x:v>-201600</x:v>
      </x:c>
      <x:c r="E6" s="34" t="n">
        <x:v>-2016</x:v>
      </x:c>
      <x:c r="F6" s="30" t="str"/>
    </x:row>
    <x:row r="7">
      <x:c r="A7" s="30" t="str">
        <x:v>split-0006</x:v>
      </x:c>
      <x:c r="B7" s="30" t="str">
        <x:v>txn-0006</x:v>
      </x:c>
      <x:c r="C7" s="30" t="str">
        <x:v>ca-storage-fees</x:v>
      </x:c>
      <x:c r="D7" s="31" t="n">
        <x:v>-13100</x:v>
      </x:c>
      <x:c r="E7" s="34" t="n">
        <x:v>-131</x:v>
      </x:c>
      <x:c r="F7" s="30" t="str"/>
    </x:row>
    <x:row r="8">
      <x:c r="A8" s="30" t="str">
        <x:v>split-0007</x:v>
      </x:c>
      <x:c r="B8" s="30" t="str">
        <x:v>txn-0009</x:v>
      </x:c>
      <x:c r="C8" s="30" t="str">
        <x:v>ca-online-sales</x:v>
      </x:c>
      <x:c r="D8" s="31" t="n">
        <x:v>1080000</x:v>
      </x:c>
      <x:c r="E8" s="34" t="n">
        <x:v>10800</x:v>
      </x:c>
      <x:c r="F8" s="30" t="str"/>
    </x:row>
    <x:row r="9">
      <x:c r="A9" s="30" t="str">
        <x:v>split-0008</x:v>
      </x:c>
      <x:c r="B9" s="30" t="str">
        <x:v>txn-0010</x:v>
      </x:c>
      <x:c r="C9" s="30" t="str">
        <x:v>ca-sales-returns</x:v>
      </x:c>
      <x:c r="D9" s="31" t="n">
        <x:v>-54000</x:v>
      </x:c>
      <x:c r="E9" s="34" t="n">
        <x:v>-540</x:v>
      </x:c>
      <x:c r="F9" s="30" t="str"/>
    </x:row>
    <x:row r="10">
      <x:c r="A10" s="30" t="str">
        <x:v>split-0009</x:v>
      </x:c>
      <x:c r="B10" s="30" t="str">
        <x:v>txn-0011</x:v>
      </x:c>
      <x:c r="C10" s="30" t="str">
        <x:v>ca-shipping-income</x:v>
      </x:c>
      <x:c r="D10" s="31" t="n">
        <x:v>11880</x:v>
      </x:c>
      <x:c r="E10" s="34" t="n">
        <x:v>118.8</x:v>
      </x:c>
      <x:c r="F10" s="30" t="str"/>
    </x:row>
    <x:row r="11">
      <x:c r="A11" s="30" t="str">
        <x:v>split-0010</x:v>
      </x:c>
      <x:c r="B11" s="30" t="str">
        <x:v>txn-0012</x:v>
      </x:c>
      <x:c r="C11" s="30" t="str">
        <x:v>ca-commission-fees</x:v>
      </x:c>
      <x:c r="D11" s="31" t="n">
        <x:v>-162000</x:v>
      </x:c>
      <x:c r="E11" s="34" t="n">
        <x:v>-1620</x:v>
      </x:c>
      <x:c r="F11" s="30" t="str"/>
    </x:row>
    <x:row r="12">
      <x:c r="A12" s="30" t="str">
        <x:v>split-0011</x:v>
      </x:c>
      <x:c r="B12" s="30" t="str">
        <x:v>txn-0013</x:v>
      </x:c>
      <x:c r="C12" s="30" t="str">
        <x:v>ca-fulfillment-fees</x:v>
      </x:c>
      <x:c r="D12" s="31" t="n">
        <x:v>-226800</x:v>
      </x:c>
      <x:c r="E12" s="34" t="n">
        <x:v>-2268</x:v>
      </x:c>
      <x:c r="F12" s="30" t="str"/>
    </x:row>
    <x:row r="13">
      <x:c r="A13" s="30" t="str">
        <x:v>split-0012</x:v>
      </x:c>
      <x:c r="B13" s="30" t="str">
        <x:v>txn-0014</x:v>
      </x:c>
      <x:c r="C13" s="30" t="str">
        <x:v>ca-storage-fees</x:v>
      </x:c>
      <x:c r="D13" s="31" t="n">
        <x:v>-14200</x:v>
      </x:c>
      <x:c r="E13" s="34" t="n">
        <x:v>-142</x:v>
      </x:c>
      <x:c r="F13" s="30" t="str"/>
    </x:row>
    <x:row r="14">
      <x:c r="A14" s="30" t="str">
        <x:v>split-0013</x:v>
      </x:c>
      <x:c r="B14" s="30" t="str">
        <x:v>txn-0017</x:v>
      </x:c>
      <x:c r="C14" s="30" t="str">
        <x:v>ca-online-sales</x:v>
      </x:c>
      <x:c r="D14" s="31" t="n">
        <x:v>1120000</x:v>
      </x:c>
      <x:c r="E14" s="34" t="n">
        <x:v>11200</x:v>
      </x:c>
      <x:c r="F14" s="30" t="str"/>
    </x:row>
    <x:row r="15">
      <x:c r="A15" s="30" t="str">
        <x:v>split-0014</x:v>
      </x:c>
      <x:c r="B15" s="30" t="str">
        <x:v>txn-0018</x:v>
      </x:c>
      <x:c r="C15" s="30" t="str">
        <x:v>ca-sales-returns</x:v>
      </x:c>
      <x:c r="D15" s="31" t="n">
        <x:v>-56000</x:v>
      </x:c>
      <x:c r="E15" s="34" t="n">
        <x:v>-560</x:v>
      </x:c>
      <x:c r="F15" s="30" t="str"/>
    </x:row>
    <x:row r="16">
      <x:c r="A16" s="30" t="str">
        <x:v>split-0015</x:v>
      </x:c>
      <x:c r="B16" s="30" t="str">
        <x:v>txn-0019</x:v>
      </x:c>
      <x:c r="C16" s="30" t="str">
        <x:v>ca-shipping-income</x:v>
      </x:c>
      <x:c r="D16" s="31" t="n">
        <x:v>12320</x:v>
      </x:c>
      <x:c r="E16" s="34" t="n">
        <x:v>123.2</x:v>
      </x:c>
      <x:c r="F16" s="30" t="str"/>
    </x:row>
    <x:row r="17">
      <x:c r="A17" s="30" t="str">
        <x:v>split-0016</x:v>
      </x:c>
      <x:c r="B17" s="30" t="str">
        <x:v>txn-0020</x:v>
      </x:c>
      <x:c r="C17" s="30" t="str">
        <x:v>ca-commission-fees</x:v>
      </x:c>
      <x:c r="D17" s="31" t="n">
        <x:v>-168000</x:v>
      </x:c>
      <x:c r="E17" s="34" t="n">
        <x:v>-1680</x:v>
      </x:c>
      <x:c r="F17" s="30" t="str"/>
    </x:row>
    <x:row r="18">
      <x:c r="A18" s="30" t="str">
        <x:v>split-0017</x:v>
      </x:c>
      <x:c r="B18" s="30" t="str">
        <x:v>txn-0021</x:v>
      </x:c>
      <x:c r="C18" s="30" t="str">
        <x:v>ca-fulfillment-fees</x:v>
      </x:c>
      <x:c r="D18" s="31" t="n">
        <x:v>-252000</x:v>
      </x:c>
      <x:c r="E18" s="34" t="n">
        <x:v>-2520</x:v>
      </x:c>
      <x:c r="F18" s="30" t="str"/>
    </x:row>
    <x:row r="19">
      <x:c r="A19" s="30" t="str">
        <x:v>split-0018</x:v>
      </x:c>
      <x:c r="B19" s="30" t="str">
        <x:v>txn-0022</x:v>
      </x:c>
      <x:c r="C19" s="30" t="str">
        <x:v>ca-storage-fees</x:v>
      </x:c>
      <x:c r="D19" s="31" t="n">
        <x:v>-15300</x:v>
      </x:c>
      <x:c r="E19" s="34" t="n">
        <x:v>-153</x:v>
      </x:c>
      <x:c r="F19" s="30" t="str"/>
    </x:row>
    <x:row r="20">
      <x:c r="A20" s="30" t="str">
        <x:v>split-0019</x:v>
      </x:c>
      <x:c r="B20" s="30" t="str">
        <x:v>txn-0025</x:v>
      </x:c>
      <x:c r="C20" s="30" t="str">
        <x:v>ca-online-sales</x:v>
      </x:c>
      <x:c r="D20" s="31" t="n">
        <x:v>1180000</x:v>
      </x:c>
      <x:c r="E20" s="34" t="n">
        <x:v>11800</x:v>
      </x:c>
      <x:c r="F20" s="30" t="str"/>
    </x:row>
    <x:row r="21">
      <x:c r="A21" s="30" t="str">
        <x:v>split-0020</x:v>
      </x:c>
      <x:c r="B21" s="30" t="str">
        <x:v>txn-0026</x:v>
      </x:c>
      <x:c r="C21" s="30" t="str">
        <x:v>ca-sales-returns</x:v>
      </x:c>
      <x:c r="D21" s="31" t="n">
        <x:v>-76700</x:v>
      </x:c>
      <x:c r="E21" s="34" t="n">
        <x:v>-767</x:v>
      </x:c>
      <x:c r="F21" s="30" t="str"/>
    </x:row>
    <x:row r="22">
      <x:c r="A22" s="30" t="str">
        <x:v>split-0021</x:v>
      </x:c>
      <x:c r="B22" s="30" t="str">
        <x:v>txn-0027</x:v>
      </x:c>
      <x:c r="C22" s="30" t="str">
        <x:v>ca-shipping-income</x:v>
      </x:c>
      <x:c r="D22" s="31" t="n">
        <x:v>12980</x:v>
      </x:c>
      <x:c r="E22" s="34" t="n">
        <x:v>129.8</x:v>
      </x:c>
      <x:c r="F22" s="30" t="str"/>
    </x:row>
    <x:row r="23">
      <x:c r="A23" s="30" t="str">
        <x:v>split-0022</x:v>
      </x:c>
      <x:c r="B23" s="30" t="str">
        <x:v>txn-0028</x:v>
      </x:c>
      <x:c r="C23" s="30" t="str">
        <x:v>ca-commission-fees</x:v>
      </x:c>
      <x:c r="D23" s="31" t="n">
        <x:v>-177000</x:v>
      </x:c>
      <x:c r="E23" s="34" t="n">
        <x:v>-1770</x:v>
      </x:c>
      <x:c r="F23" s="30" t="str"/>
    </x:row>
    <x:row r="24">
      <x:c r="A24" s="30" t="str">
        <x:v>split-0023</x:v>
      </x:c>
      <x:c r="B24" s="30" t="str">
        <x:v>txn-0029</x:v>
      </x:c>
      <x:c r="C24" s="30" t="str">
        <x:v>ca-fulfillment-fees</x:v>
      </x:c>
      <x:c r="D24" s="31" t="n">
        <x:v>-247800</x:v>
      </x:c>
      <x:c r="E24" s="34" t="n">
        <x:v>-2478</x:v>
      </x:c>
      <x:c r="F24" s="30" t="str"/>
    </x:row>
    <x:row r="25">
      <x:c r="A25" s="30" t="str">
        <x:v>split-0024</x:v>
      </x:c>
      <x:c r="B25" s="30" t="str">
        <x:v>txn-0030</x:v>
      </x:c>
      <x:c r="C25" s="30" t="str">
        <x:v>ca-storage-fees</x:v>
      </x:c>
      <x:c r="D25" s="31" t="n">
        <x:v>-16400</x:v>
      </x:c>
      <x:c r="E25" s="34" t="n">
        <x:v>-164</x:v>
      </x:c>
      <x:c r="F25" s="30" t="str"/>
    </x:row>
    <x:row r="26">
      <x:c r="A26" s="30" t="str">
        <x:v>split-0025</x:v>
      </x:c>
      <x:c r="B26" s="30" t="str">
        <x:v>txn-0033</x:v>
      </x:c>
      <x:c r="C26" s="30" t="str">
        <x:v>ca-online-sales</x:v>
      </x:c>
      <x:c r="D26" s="31" t="n">
        <x:v>1420000</x:v>
      </x:c>
      <x:c r="E26" s="34" t="n">
        <x:v>14200</x:v>
      </x:c>
      <x:c r="F26" s="30" t="str"/>
    </x:row>
    <x:row r="27">
      <x:c r="A27" s="30" t="str">
        <x:v>split-0026</x:v>
      </x:c>
      <x:c r="B27" s="30" t="str">
        <x:v>txn-0034</x:v>
      </x:c>
      <x:c r="C27" s="30" t="str">
        <x:v>ca-sales-returns</x:v>
      </x:c>
      <x:c r="D27" s="31" t="n">
        <x:v>-71000</x:v>
      </x:c>
      <x:c r="E27" s="34" t="n">
        <x:v>-710</x:v>
      </x:c>
      <x:c r="F27" s="30" t="str"/>
    </x:row>
    <x:row r="28">
      <x:c r="A28" s="30" t="str">
        <x:v>split-0027</x:v>
      </x:c>
      <x:c r="B28" s="30" t="str">
        <x:v>txn-0035</x:v>
      </x:c>
      <x:c r="C28" s="30" t="str">
        <x:v>ca-shipping-income</x:v>
      </x:c>
      <x:c r="D28" s="31" t="n">
        <x:v>15620</x:v>
      </x:c>
      <x:c r="E28" s="34" t="n">
        <x:v>156.2</x:v>
      </x:c>
      <x:c r="F28" s="30" t="str"/>
    </x:row>
    <x:row r="29">
      <x:c r="A29" s="30" t="str">
        <x:v>split-0028</x:v>
      </x:c>
      <x:c r="B29" s="30" t="str">
        <x:v>txn-0036</x:v>
      </x:c>
      <x:c r="C29" s="30" t="str">
        <x:v>ca-commission-fees</x:v>
      </x:c>
      <x:c r="D29" s="31" t="n">
        <x:v>-213000</x:v>
      </x:c>
      <x:c r="E29" s="34" t="n">
        <x:v>-2130</x:v>
      </x:c>
      <x:c r="F29" s="30" t="str"/>
    </x:row>
    <x:row r="30">
      <x:c r="A30" s="30" t="str">
        <x:v>split-0029</x:v>
      </x:c>
      <x:c r="B30" s="30" t="str">
        <x:v>txn-0037</x:v>
      </x:c>
      <x:c r="C30" s="30" t="str">
        <x:v>ca-fulfillment-fees</x:v>
      </x:c>
      <x:c r="D30" s="31" t="n">
        <x:v>-298200</x:v>
      </x:c>
      <x:c r="E30" s="34" t="n">
        <x:v>-2982</x:v>
      </x:c>
      <x:c r="F30" s="30" t="str"/>
    </x:row>
    <x:row r="31">
      <x:c r="A31" s="30" t="str">
        <x:v>split-0030</x:v>
      </x:c>
      <x:c r="B31" s="30" t="str">
        <x:v>txn-0038</x:v>
      </x:c>
      <x:c r="C31" s="30" t="str">
        <x:v>ca-storage-fees</x:v>
      </x:c>
      <x:c r="D31" s="31" t="n">
        <x:v>-17500</x:v>
      </x:c>
      <x:c r="E31" s="34" t="n">
        <x:v>-175</x:v>
      </x:c>
      <x:c r="F31" s="30" t="str"/>
    </x:row>
    <x:row r="32">
      <x:c r="A32" s="30" t="str">
        <x:v>split-0031</x:v>
      </x:c>
      <x:c r="B32" s="30" t="str">
        <x:v>txn-0041</x:v>
      </x:c>
      <x:c r="C32" s="30" t="str">
        <x:v>ca-online-sales</x:v>
      </x:c>
      <x:c r="D32" s="31" t="n">
        <x:v>1380000</x:v>
      </x:c>
      <x:c r="E32" s="34" t="n">
        <x:v>13800</x:v>
      </x:c>
      <x:c r="F32" s="30" t="str"/>
    </x:row>
    <x:row r="33">
      <x:c r="A33" s="30" t="str">
        <x:v>split-0032</x:v>
      </x:c>
      <x:c r="B33" s="30" t="str">
        <x:v>txn-0042</x:v>
      </x:c>
      <x:c r="C33" s="30" t="str">
        <x:v>ca-sales-returns</x:v>
      </x:c>
      <x:c r="D33" s="31" t="n">
        <x:v>-69000</x:v>
      </x:c>
      <x:c r="E33" s="34" t="n">
        <x:v>-690</x:v>
      </x:c>
      <x:c r="F33" s="30" t="str"/>
    </x:row>
    <x:row r="34">
      <x:c r="A34" s="30" t="str">
        <x:v>split-0033</x:v>
      </x:c>
      <x:c r="B34" s="30" t="str">
        <x:v>txn-0043</x:v>
      </x:c>
      <x:c r="C34" s="30" t="str">
        <x:v>ca-shipping-income</x:v>
      </x:c>
      <x:c r="D34" s="31" t="n">
        <x:v>15180</x:v>
      </x:c>
      <x:c r="E34" s="34" t="n">
        <x:v>151.8</x:v>
      </x:c>
      <x:c r="F34" s="30" t="str"/>
    </x:row>
    <x:row r="35">
      <x:c r="A35" s="30" t="str">
        <x:v>split-0034</x:v>
      </x:c>
      <x:c r="B35" s="30" t="str">
        <x:v>txn-0044</x:v>
      </x:c>
      <x:c r="C35" s="30" t="str">
        <x:v>ca-commission-fees</x:v>
      </x:c>
      <x:c r="D35" s="31" t="n">
        <x:v>-207000</x:v>
      </x:c>
      <x:c r="E35" s="34" t="n">
        <x:v>-2070</x:v>
      </x:c>
      <x:c r="F35" s="30" t="str"/>
    </x:row>
    <x:row r="36">
      <x:c r="A36" s="30" t="str">
        <x:v>split-0035</x:v>
      </x:c>
      <x:c r="B36" s="30" t="str">
        <x:v>txn-0045</x:v>
      </x:c>
      <x:c r="C36" s="30" t="str">
        <x:v>ca-fulfillment-fees</x:v>
      </x:c>
      <x:c r="D36" s="31" t="n">
        <x:v>-310500</x:v>
      </x:c>
      <x:c r="E36" s="34" t="n">
        <x:v>-3105</x:v>
      </x:c>
      <x:c r="F36" s="30" t="str"/>
    </x:row>
    <x:row r="37">
      <x:c r="A37" s="30" t="str">
        <x:v>split-0036</x:v>
      </x:c>
      <x:c r="B37" s="30" t="str">
        <x:v>txn-0046</x:v>
      </x:c>
      <x:c r="C37" s="30" t="str">
        <x:v>ca-storage-fees</x:v>
      </x:c>
      <x:c r="D37" s="31" t="n">
        <x:v>-18600</x:v>
      </x:c>
      <x:c r="E37" s="34" t="n">
        <x:v>-186</x:v>
      </x:c>
      <x:c r="F37" s="30" t="str"/>
    </x:row>
    <x:row r="38">
      <x:c r="A38" s="30" t="str">
        <x:v>split-0037</x:v>
      </x:c>
      <x:c r="B38" s="30" t="str">
        <x:v>txn-0049</x:v>
      </x:c>
      <x:c r="C38" s="30" t="str">
        <x:v>ca-online-sales</x:v>
      </x:c>
      <x:c r="D38" s="31" t="n">
        <x:v>1960000</x:v>
      </x:c>
      <x:c r="E38" s="34" t="n">
        <x:v>19600</x:v>
      </x:c>
      <x:c r="F38" s="30" t="str"/>
    </x:row>
    <x:row r="39">
      <x:c r="A39" s="30" t="str">
        <x:v>split-0038</x:v>
      </x:c>
      <x:c r="B39" s="30" t="str">
        <x:v>txn-0050</x:v>
      </x:c>
      <x:c r="C39" s="30" t="str">
        <x:v>ca-sales-returns</x:v>
      </x:c>
      <x:c r="D39" s="31" t="n">
        <x:v>-98000</x:v>
      </x:c>
      <x:c r="E39" s="34" t="n">
        <x:v>-980</x:v>
      </x:c>
      <x:c r="F39" s="30" t="str"/>
    </x:row>
    <x:row r="40">
      <x:c r="A40" s="30" t="str">
        <x:v>split-0039</x:v>
      </x:c>
      <x:c r="B40" s="30" t="str">
        <x:v>txn-0051</x:v>
      </x:c>
      <x:c r="C40" s="30" t="str">
        <x:v>ca-shipping-income</x:v>
      </x:c>
      <x:c r="D40" s="31" t="n">
        <x:v>21560</x:v>
      </x:c>
      <x:c r="E40" s="34" t="n">
        <x:v>215.6</x:v>
      </x:c>
      <x:c r="F40" s="30" t="str"/>
    </x:row>
    <x:row r="41">
      <x:c r="A41" s="30" t="str">
        <x:v>split-0040</x:v>
      </x:c>
      <x:c r="B41" s="30" t="str">
        <x:v>txn-0052</x:v>
      </x:c>
      <x:c r="C41" s="30" t="str">
        <x:v>ca-commission-fees</x:v>
      </x:c>
      <x:c r="D41" s="31" t="n">
        <x:v>-294000</x:v>
      </x:c>
      <x:c r="E41" s="34" t="n">
        <x:v>-2940</x:v>
      </x:c>
      <x:c r="F41" s="30" t="str"/>
    </x:row>
    <x:row r="42">
      <x:c r="A42" s="30" t="str">
        <x:v>split-0041</x:v>
      </x:c>
      <x:c r="B42" s="30" t="str">
        <x:v>txn-0053</x:v>
      </x:c>
      <x:c r="C42" s="30" t="str">
        <x:v>ca-fulfillment-fees</x:v>
      </x:c>
      <x:c r="D42" s="31" t="n">
        <x:v>-411600</x:v>
      </x:c>
      <x:c r="E42" s="34" t="n">
        <x:v>-4116</x:v>
      </x:c>
      <x:c r="F42" s="30" t="str"/>
    </x:row>
    <x:row r="43">
      <x:c r="A43" s="30" t="str">
        <x:v>split-0042</x:v>
      </x:c>
      <x:c r="B43" s="30" t="str">
        <x:v>txn-0054</x:v>
      </x:c>
      <x:c r="C43" s="30" t="str">
        <x:v>ca-storage-fees</x:v>
      </x:c>
      <x:c r="D43" s="31" t="n">
        <x:v>-19700</x:v>
      </x:c>
      <x:c r="E43" s="34" t="n">
        <x:v>-197</x:v>
      </x:c>
      <x:c r="F43" s="30" t="str"/>
    </x:row>
    <x:row r="44">
      <x:c r="A44" s="30" t="str">
        <x:v>split-0043</x:v>
      </x:c>
      <x:c r="B44" s="30" t="str">
        <x:v>txn-0057</x:v>
      </x:c>
      <x:c r="C44" s="30" t="str">
        <x:v>ca-online-sales</x:v>
      </x:c>
      <x:c r="D44" s="31" t="n">
        <x:v>1640000</x:v>
      </x:c>
      <x:c r="E44" s="34" t="n">
        <x:v>16400</x:v>
      </x:c>
      <x:c r="F44" s="30" t="str"/>
    </x:row>
    <x:row r="45">
      <x:c r="A45" s="30" t="str">
        <x:v>split-0044</x:v>
      </x:c>
      <x:c r="B45" s="30" t="str">
        <x:v>txn-0058</x:v>
      </x:c>
      <x:c r="C45" s="30" t="str">
        <x:v>ca-sales-returns</x:v>
      </x:c>
      <x:c r="D45" s="31" t="n">
        <x:v>-106600</x:v>
      </x:c>
      <x:c r="E45" s="34" t="n">
        <x:v>-1066</x:v>
      </x:c>
      <x:c r="F45" s="30" t="str"/>
    </x:row>
    <x:row r="46">
      <x:c r="A46" s="30" t="str">
        <x:v>split-0045</x:v>
      </x:c>
      <x:c r="B46" s="30" t="str">
        <x:v>txn-0059</x:v>
      </x:c>
      <x:c r="C46" s="30" t="str">
        <x:v>ca-shipping-income</x:v>
      </x:c>
      <x:c r="D46" s="31" t="n">
        <x:v>18040</x:v>
      </x:c>
      <x:c r="E46" s="34" t="n">
        <x:v>180.4</x:v>
      </x:c>
      <x:c r="F46" s="30" t="str"/>
    </x:row>
    <x:row r="47">
      <x:c r="A47" s="30" t="str">
        <x:v>split-0046</x:v>
      </x:c>
      <x:c r="B47" s="30" t="str">
        <x:v>txn-0060</x:v>
      </x:c>
      <x:c r="C47" s="30" t="str">
        <x:v>ca-commission-fees</x:v>
      </x:c>
      <x:c r="D47" s="31" t="n">
        <x:v>-246000</x:v>
      </x:c>
      <x:c r="E47" s="34" t="n">
        <x:v>-2460</x:v>
      </x:c>
      <x:c r="F47" s="30" t="str"/>
    </x:row>
    <x:row r="48">
      <x:c r="A48" s="30" t="str">
        <x:v>split-0047</x:v>
      </x:c>
      <x:c r="B48" s="30" t="str">
        <x:v>txn-0061</x:v>
      </x:c>
      <x:c r="C48" s="30" t="str">
        <x:v>ca-fulfillment-fees</x:v>
      </x:c>
      <x:c r="D48" s="31" t="n">
        <x:v>-344400</x:v>
      </x:c>
      <x:c r="E48" s="34" t="n">
        <x:v>-3444</x:v>
      </x:c>
      <x:c r="F48" s="30" t="str"/>
    </x:row>
    <x:row r="49">
      <x:c r="A49" s="30" t="str">
        <x:v>split-0048</x:v>
      </x:c>
      <x:c r="B49" s="30" t="str">
        <x:v>txn-0062</x:v>
      </x:c>
      <x:c r="C49" s="30" t="str">
        <x:v>ca-storage-fees</x:v>
      </x:c>
      <x:c r="D49" s="31" t="n">
        <x:v>-20800</x:v>
      </x:c>
      <x:c r="E49" s="34" t="n">
        <x:v>-208</x:v>
      </x:c>
      <x:c r="F49" s="30" t="str"/>
    </x:row>
    <x:row r="50">
      <x:c r="A50" s="30" t="str">
        <x:v>split-0049</x:v>
      </x:c>
      <x:c r="B50" s="30" t="str">
        <x:v>txn-0065</x:v>
      </x:c>
      <x:c r="C50" s="30" t="str">
        <x:v>ca-online-sales</x:v>
      </x:c>
      <x:c r="D50" s="31" t="n">
        <x:v>1090000</x:v>
      </x:c>
      <x:c r="E50" s="34" t="n">
        <x:v>10900</x:v>
      </x:c>
      <x:c r="F50" s="30" t="str"/>
    </x:row>
    <x:row r="51">
      <x:c r="A51" s="30" t="str">
        <x:v>split-0050</x:v>
      </x:c>
      <x:c r="B51" s="30" t="str">
        <x:v>txn-0066</x:v>
      </x:c>
      <x:c r="C51" s="30" t="str">
        <x:v>ca-sales-returns</x:v>
      </x:c>
      <x:c r="D51" s="31" t="n">
        <x:v>-54500</x:v>
      </x:c>
      <x:c r="E51" s="34" t="n">
        <x:v>-545</x:v>
      </x:c>
      <x:c r="F51" s="30" t="str"/>
    </x:row>
    <x:row r="52">
      <x:c r="A52" s="30" t="str">
        <x:v>split-0051</x:v>
      </x:c>
      <x:c r="B52" s="30" t="str">
        <x:v>txn-0067</x:v>
      </x:c>
      <x:c r="C52" s="30" t="str">
        <x:v>ca-shipping-income</x:v>
      </x:c>
      <x:c r="D52" s="31" t="n">
        <x:v>11990</x:v>
      </x:c>
      <x:c r="E52" s="34" t="n">
        <x:v>119.9</x:v>
      </x:c>
      <x:c r="F52" s="30" t="str"/>
    </x:row>
    <x:row r="53">
      <x:c r="A53" s="30" t="str">
        <x:v>split-0052</x:v>
      </x:c>
      <x:c r="B53" s="30" t="str">
        <x:v>txn-0068</x:v>
      </x:c>
      <x:c r="C53" s="30" t="str">
        <x:v>ca-commission-fees</x:v>
      </x:c>
      <x:c r="D53" s="31" t="n">
        <x:v>-163500</x:v>
      </x:c>
      <x:c r="E53" s="34" t="n">
        <x:v>-1635</x:v>
      </x:c>
      <x:c r="F53" s="30" t="str"/>
    </x:row>
    <x:row r="54">
      <x:c r="A54" s="30" t="str">
        <x:v>split-0053</x:v>
      </x:c>
      <x:c r="B54" s="30" t="str">
        <x:v>txn-0069</x:v>
      </x:c>
      <x:c r="C54" s="30" t="str">
        <x:v>ca-fulfillment-fees</x:v>
      </x:c>
      <x:c r="D54" s="31" t="n">
        <x:v>-245250</x:v>
      </x:c>
      <x:c r="E54" s="34" t="n">
        <x:v>-2452.5</x:v>
      </x:c>
      <x:c r="F54" s="30" t="str"/>
    </x:row>
    <x:row r="55">
      <x:c r="A55" s="30" t="str">
        <x:v>split-0054</x:v>
      </x:c>
      <x:c r="B55" s="30" t="str">
        <x:v>txn-0070</x:v>
      </x:c>
      <x:c r="C55" s="30" t="str">
        <x:v>ca-storage-fees</x:v>
      </x:c>
      <x:c r="D55" s="31" t="n">
        <x:v>-21900</x:v>
      </x:c>
      <x:c r="E55" s="34" t="n">
        <x:v>-219</x:v>
      </x:c>
      <x:c r="F55" s="30" t="str"/>
    </x:row>
    <x:row r="56">
      <x:c r="A56" s="30" t="str">
        <x:v>split-0055</x:v>
      </x:c>
      <x:c r="B56" s="30" t="str">
        <x:v>txn-0073</x:v>
      </x:c>
      <x:c r="C56" s="30" t="str">
        <x:v>ca-online-sales</x:v>
      </x:c>
      <x:c r="D56" s="31" t="n">
        <x:v>1210000</x:v>
      </x:c>
      <x:c r="E56" s="34" t="n">
        <x:v>12100</x:v>
      </x:c>
      <x:c r="F56" s="30" t="str"/>
    </x:row>
    <x:row r="57">
      <x:c r="A57" s="30" t="str">
        <x:v>split-0056</x:v>
      </x:c>
      <x:c r="B57" s="30" t="str">
        <x:v>txn-0074</x:v>
      </x:c>
      <x:c r="C57" s="30" t="str">
        <x:v>ca-sales-returns</x:v>
      </x:c>
      <x:c r="D57" s="31" t="n">
        <x:v>-60500</x:v>
      </x:c>
      <x:c r="E57" s="34" t="n">
        <x:v>-605</x:v>
      </x:c>
      <x:c r="F57" s="30" t="str"/>
    </x:row>
    <x:row r="58">
      <x:c r="A58" s="30" t="str">
        <x:v>split-0057</x:v>
      </x:c>
      <x:c r="B58" s="30" t="str">
        <x:v>txn-0075</x:v>
      </x:c>
      <x:c r="C58" s="30" t="str">
        <x:v>ca-shipping-income</x:v>
      </x:c>
      <x:c r="D58" s="31" t="n">
        <x:v>13310</x:v>
      </x:c>
      <x:c r="E58" s="34" t="n">
        <x:v>133.1</x:v>
      </x:c>
      <x:c r="F58" s="30" t="str"/>
    </x:row>
    <x:row r="59">
      <x:c r="A59" s="30" t="str">
        <x:v>split-0058</x:v>
      </x:c>
      <x:c r="B59" s="30" t="str">
        <x:v>txn-0076</x:v>
      </x:c>
      <x:c r="C59" s="30" t="str">
        <x:v>ca-commission-fees</x:v>
      </x:c>
      <x:c r="D59" s="31" t="n">
        <x:v>-181500</x:v>
      </x:c>
      <x:c r="E59" s="34" t="n">
        <x:v>-1815</x:v>
      </x:c>
      <x:c r="F59" s="30" t="str"/>
    </x:row>
    <x:row r="60">
      <x:c r="A60" s="30" t="str">
        <x:v>split-0059</x:v>
      </x:c>
      <x:c r="B60" s="30" t="str">
        <x:v>txn-0077</x:v>
      </x:c>
      <x:c r="C60" s="30" t="str">
        <x:v>ca-fulfillment-fees</x:v>
      </x:c>
      <x:c r="D60" s="31" t="n">
        <x:v>-254100</x:v>
      </x:c>
      <x:c r="E60" s="34" t="n">
        <x:v>-2541</x:v>
      </x:c>
      <x:c r="F60" s="30" t="str"/>
    </x:row>
    <x:row r="61">
      <x:c r="A61" s="30" t="str">
        <x:v>split-0060</x:v>
      </x:c>
      <x:c r="B61" s="30" t="str">
        <x:v>txn-0078</x:v>
      </x:c>
      <x:c r="C61" s="30" t="str">
        <x:v>ca-storage-fees</x:v>
      </x:c>
      <x:c r="D61" s="31" t="n">
        <x:v>-28500</x:v>
      </x:c>
      <x:c r="E61" s="34" t="n">
        <x:v>-285</x:v>
      </x:c>
      <x:c r="F61" s="30" t="str"/>
    </x:row>
    <x:row r="62">
      <x:c r="A62" s="30" t="str">
        <x:v>split-0061</x:v>
      </x:c>
      <x:c r="B62" s="30" t="str">
        <x:v>txn-0081</x:v>
      </x:c>
      <x:c r="C62" s="30" t="str">
        <x:v>ca-online-sales</x:v>
      </x:c>
      <x:c r="D62" s="31" t="n">
        <x:v>880000</x:v>
      </x:c>
      <x:c r="E62" s="34" t="n">
        <x:v>8800</x:v>
      </x:c>
      <x:c r="F62" s="30" t="str"/>
    </x:row>
    <x:row r="63">
      <x:c r="A63" s="30" t="str">
        <x:v>split-0062</x:v>
      </x:c>
      <x:c r="B63" s="30" t="str">
        <x:v>txn-0082</x:v>
      </x:c>
      <x:c r="C63" s="30" t="str">
        <x:v>ca-sales-returns</x:v>
      </x:c>
      <x:c r="D63" s="31" t="n">
        <x:v>-44000</x:v>
      </x:c>
      <x:c r="E63" s="34" t="n">
        <x:v>-440</x:v>
      </x:c>
      <x:c r="F63" s="30" t="str"/>
    </x:row>
    <x:row r="64">
      <x:c r="A64" s="30" t="str">
        <x:v>split-0063</x:v>
      </x:c>
      <x:c r="B64" s="30" t="str">
        <x:v>txn-0083</x:v>
      </x:c>
      <x:c r="C64" s="30" t="str">
        <x:v>ca-shipping-income</x:v>
      </x:c>
      <x:c r="D64" s="31" t="n">
        <x:v>9680</x:v>
      </x:c>
      <x:c r="E64" s="34" t="n">
        <x:v>96.8</x:v>
      </x:c>
      <x:c r="F64" s="30" t="str"/>
    </x:row>
    <x:row r="65">
      <x:c r="A65" s="30" t="str">
        <x:v>split-0064</x:v>
      </x:c>
      <x:c r="B65" s="30" t="str">
        <x:v>txn-0084</x:v>
      </x:c>
      <x:c r="C65" s="30" t="str">
        <x:v>ca-commission-fees</x:v>
      </x:c>
      <x:c r="D65" s="31" t="n">
        <x:v>-132000</x:v>
      </x:c>
      <x:c r="E65" s="34" t="n">
        <x:v>-1320</x:v>
      </x:c>
      <x:c r="F65" s="30" t="str"/>
    </x:row>
    <x:row r="66">
      <x:c r="A66" s="30" t="str">
        <x:v>split-0065</x:v>
      </x:c>
      <x:c r="B66" s="30" t="str">
        <x:v>txn-0085</x:v>
      </x:c>
      <x:c r="C66" s="30" t="str">
        <x:v>ca-fulfillment-fees</x:v>
      </x:c>
      <x:c r="D66" s="31" t="n">
        <x:v>-184800</x:v>
      </x:c>
      <x:c r="E66" s="34" t="n">
        <x:v>-1848</x:v>
      </x:c>
      <x:c r="F66" s="30" t="str"/>
    </x:row>
    <x:row r="67">
      <x:c r="A67" s="30" t="str">
        <x:v>split-0066</x:v>
      </x:c>
      <x:c r="B67" s="30" t="str">
        <x:v>txn-0086</x:v>
      </x:c>
      <x:c r="C67" s="30" t="str">
        <x:v>ca-storage-fees</x:v>
      </x:c>
      <x:c r="D67" s="31" t="n">
        <x:v>-29600</x:v>
      </x:c>
      <x:c r="E67" s="34" t="n">
        <x:v>-296</x:v>
      </x:c>
      <x:c r="F67" s="30" t="str"/>
    </x:row>
    <x:row r="68">
      <x:c r="A68" s="30" t="str">
        <x:v>split-0067</x:v>
      </x:c>
      <x:c r="B68" s="30" t="str">
        <x:v>txn-0089</x:v>
      </x:c>
      <x:c r="C68" s="30" t="str">
        <x:v>ca-online-sales</x:v>
      </x:c>
      <x:c r="D68" s="31" t="n">
        <x:v>790000</x:v>
      </x:c>
      <x:c r="E68" s="34" t="n">
        <x:v>7900</x:v>
      </x:c>
      <x:c r="F68" s="30" t="str"/>
    </x:row>
    <x:row r="69">
      <x:c r="A69" s="30" t="str">
        <x:v>split-0068</x:v>
      </x:c>
      <x:c r="B69" s="30" t="str">
        <x:v>txn-0090</x:v>
      </x:c>
      <x:c r="C69" s="30" t="str">
        <x:v>ca-sales-returns</x:v>
      </x:c>
      <x:c r="D69" s="31" t="n">
        <x:v>-51350</x:v>
      </x:c>
      <x:c r="E69" s="34" t="n">
        <x:v>-513.5</x:v>
      </x:c>
      <x:c r="F69" s="30" t="str"/>
    </x:row>
    <x:row r="70">
      <x:c r="A70" s="30" t="str">
        <x:v>split-0069</x:v>
      </x:c>
      <x:c r="B70" s="30" t="str">
        <x:v>txn-0091</x:v>
      </x:c>
      <x:c r="C70" s="30" t="str">
        <x:v>ca-shipping-income</x:v>
      </x:c>
      <x:c r="D70" s="31" t="n">
        <x:v>8690</x:v>
      </x:c>
      <x:c r="E70" s="34" t="n">
        <x:v>86.9</x:v>
      </x:c>
      <x:c r="F70" s="30" t="str"/>
    </x:row>
    <x:row r="71">
      <x:c r="A71" s="30" t="str">
        <x:v>split-0070</x:v>
      </x:c>
      <x:c r="B71" s="30" t="str">
        <x:v>txn-0092</x:v>
      </x:c>
      <x:c r="C71" s="30" t="str">
        <x:v>ca-commission-fees</x:v>
      </x:c>
      <x:c r="D71" s="31" t="n">
        <x:v>-118500</x:v>
      </x:c>
      <x:c r="E71" s="34" t="n">
        <x:v>-1185</x:v>
      </x:c>
      <x:c r="F71" s="30" t="str"/>
    </x:row>
    <x:row r="72">
      <x:c r="A72" s="30" t="str">
        <x:v>split-0071</x:v>
      </x:c>
      <x:c r="B72" s="30" t="str">
        <x:v>txn-0093</x:v>
      </x:c>
      <x:c r="C72" s="30" t="str">
        <x:v>ca-fulfillment-fees</x:v>
      </x:c>
      <x:c r="D72" s="31" t="n">
        <x:v>-177750</x:v>
      </x:c>
      <x:c r="E72" s="34" t="n">
        <x:v>-1777.5</x:v>
      </x:c>
      <x:c r="F72" s="30" t="str"/>
    </x:row>
    <x:row r="73">
      <x:c r="A73" s="30" t="str">
        <x:v>split-0072</x:v>
      </x:c>
      <x:c r="B73" s="30" t="str">
        <x:v>txn-0094</x:v>
      </x:c>
      <x:c r="C73" s="30" t="str">
        <x:v>ca-storage-fees</x:v>
      </x:c>
      <x:c r="D73" s="31" t="n">
        <x:v>-30700</x:v>
      </x:c>
      <x:c r="E73" s="34" t="n">
        <x:v>-307</x:v>
      </x:c>
      <x:c r="F73" s="30" t="str"/>
    </x:row>
    <x:row r="74">
      <x:c r="A74" s="30" t="str">
        <x:v>split-0073</x:v>
      </x:c>
      <x:c r="B74" s="30" t="str">
        <x:v>txn-0095</x:v>
      </x:c>
      <x:c r="C74" s="30" t="str">
        <x:v>ca-platform-fees-parent</x:v>
      </x:c>
      <x:c r="D74" s="31" t="n">
        <x:v>-7500</x:v>
      </x:c>
      <x:c r="E74" s="34" t="n">
        <x:v>-75</x:v>
      </x:c>
      <x:c r="F74" s="30" t="str"/>
    </x:row>
    <x:row r="75">
      <x:c r="A75" s="30" t="str">
        <x:v>split-0074</x:v>
      </x:c>
      <x:c r="B75" s="30" t="str">
        <x:v>txn-0098</x:v>
      </x:c>
      <x:c r="C75" s="30" t="str">
        <x:v>ca-online-sales</x:v>
      </x:c>
      <x:c r="D75" s="31" t="n">
        <x:v>1320000</x:v>
      </x:c>
      <x:c r="E75" s="34" t="n">
        <x:v>13200</x:v>
      </x:c>
      <x:c r="F75" s="30" t="str"/>
    </x:row>
    <x:row r="76">
      <x:c r="A76" s="30" t="str">
        <x:v>split-0075</x:v>
      </x:c>
      <x:c r="B76" s="30" t="str">
        <x:v>txn-0099</x:v>
      </x:c>
      <x:c r="C76" s="30" t="str">
        <x:v>ca-sales-returns</x:v>
      </x:c>
      <x:c r="D76" s="31" t="n">
        <x:v>-66000</x:v>
      </x:c>
      <x:c r="E76" s="34" t="n">
        <x:v>-660</x:v>
      </x:c>
      <x:c r="F76" s="30" t="str"/>
    </x:row>
    <x:row r="77">
      <x:c r="A77" s="30" t="str">
        <x:v>split-0076</x:v>
      </x:c>
      <x:c r="B77" s="30" t="str">
        <x:v>txn-0100</x:v>
      </x:c>
      <x:c r="C77" s="30" t="str">
        <x:v>ca-shipping-income</x:v>
      </x:c>
      <x:c r="D77" s="31" t="n">
        <x:v>14520</x:v>
      </x:c>
      <x:c r="E77" s="34" t="n">
        <x:v>145.2</x:v>
      </x:c>
      <x:c r="F77" s="30" t="str"/>
    </x:row>
    <x:row r="78">
      <x:c r="A78" s="30" t="str">
        <x:v>split-0077</x:v>
      </x:c>
      <x:c r="B78" s="30" t="str">
        <x:v>txn-0101</x:v>
      </x:c>
      <x:c r="C78" s="30" t="str">
        <x:v>ca-commission-fees</x:v>
      </x:c>
      <x:c r="D78" s="31" t="n">
        <x:v>-198000</x:v>
      </x:c>
      <x:c r="E78" s="34" t="n">
        <x:v>-1980</x:v>
      </x:c>
      <x:c r="F78" s="30" t="str"/>
    </x:row>
    <x:row r="79">
      <x:c r="A79" s="30" t="str">
        <x:v>split-0078</x:v>
      </x:c>
      <x:c r="B79" s="30" t="str">
        <x:v>txn-0102</x:v>
      </x:c>
      <x:c r="C79" s="30" t="str">
        <x:v>ca-fulfillment-fees</x:v>
      </x:c>
      <x:c r="D79" s="31" t="n">
        <x:v>-277200</x:v>
      </x:c>
      <x:c r="E79" s="34" t="n">
        <x:v>-2772</x:v>
      </x:c>
      <x:c r="F79" s="30" t="str"/>
    </x:row>
    <x:row r="80">
      <x:c r="A80" s="30" t="str">
        <x:v>split-0079</x:v>
      </x:c>
      <x:c r="B80" s="30" t="str">
        <x:v>txn-0103</x:v>
      </x:c>
      <x:c r="C80" s="30" t="str">
        <x:v>ca-storage-fees</x:v>
      </x:c>
      <x:c r="D80" s="31" t="n">
        <x:v>-13100</x:v>
      </x:c>
      <x:c r="E80" s="34" t="n">
        <x:v>-131</x:v>
      </x:c>
      <x:c r="F80" s="30" t="str"/>
    </x:row>
    <x:row r="81">
      <x:c r="A81" s="30" t="str">
        <x:v>split-0080</x:v>
      </x:c>
      <x:c r="B81" s="30" t="str">
        <x:v>txn-0106</x:v>
      </x:c>
      <x:c r="C81" s="30" t="str">
        <x:v>ca-online-sales</x:v>
      </x:c>
      <x:c r="D81" s="31" t="n">
        <x:v>1160000</x:v>
      </x:c>
      <x:c r="E81" s="34" t="n">
        <x:v>11600</x:v>
      </x:c>
      <x:c r="F81" s="30" t="str"/>
    </x:row>
    <x:row r="82">
      <x:c r="A82" s="30" t="str">
        <x:v>split-0081</x:v>
      </x:c>
      <x:c r="B82" s="30" t="str">
        <x:v>txn-0107</x:v>
      </x:c>
      <x:c r="C82" s="30" t="str">
        <x:v>ca-sales-returns</x:v>
      </x:c>
      <x:c r="D82" s="31" t="n">
        <x:v>-58000</x:v>
      </x:c>
      <x:c r="E82" s="34" t="n">
        <x:v>-580</x:v>
      </x:c>
      <x:c r="F82" s="30" t="str"/>
    </x:row>
    <x:row r="83">
      <x:c r="A83" s="30" t="str">
        <x:v>split-0082</x:v>
      </x:c>
      <x:c r="B83" s="30" t="str">
        <x:v>txn-0108</x:v>
      </x:c>
      <x:c r="C83" s="30" t="str">
        <x:v>ca-shipping-income</x:v>
      </x:c>
      <x:c r="D83" s="31" t="n">
        <x:v>12760</x:v>
      </x:c>
      <x:c r="E83" s="34" t="n">
        <x:v>127.6</x:v>
      </x:c>
      <x:c r="F83" s="30" t="str"/>
    </x:row>
    <x:row r="84">
      <x:c r="A84" s="30" t="str">
        <x:v>split-0083</x:v>
      </x:c>
      <x:c r="B84" s="30" t="str">
        <x:v>txn-0109</x:v>
      </x:c>
      <x:c r="C84" s="30" t="str">
        <x:v>ca-commission-fees</x:v>
      </x:c>
      <x:c r="D84" s="31" t="n">
        <x:v>-174000</x:v>
      </x:c>
      <x:c r="E84" s="34" t="n">
        <x:v>-1740</x:v>
      </x:c>
      <x:c r="F84" s="30" t="str"/>
    </x:row>
    <x:row r="85">
      <x:c r="A85" s="30" t="str">
        <x:v>split-0084</x:v>
      </x:c>
      <x:c r="B85" s="30" t="str">
        <x:v>txn-0110</x:v>
      </x:c>
      <x:c r="C85" s="30" t="str">
        <x:v>ca-fulfillment-fees</x:v>
      </x:c>
      <x:c r="D85" s="31" t="n">
        <x:v>-243600</x:v>
      </x:c>
      <x:c r="E85" s="34" t="n">
        <x:v>-2436</x:v>
      </x:c>
      <x:c r="F85" s="30" t="str"/>
    </x:row>
    <x:row r="86">
      <x:c r="A86" s="30" t="str">
        <x:v>split-0085</x:v>
      </x:c>
      <x:c r="B86" s="30" t="str">
        <x:v>txn-0111</x:v>
      </x:c>
      <x:c r="C86" s="30" t="str">
        <x:v>ca-storage-fees</x:v>
      </x:c>
      <x:c r="D86" s="31" t="n">
        <x:v>-14200</x:v>
      </x:c>
      <x:c r="E86" s="34" t="n">
        <x:v>-142</x:v>
      </x:c>
      <x:c r="F86" s="30" t="str"/>
    </x:row>
    <x:row r="87">
      <x:c r="A87" s="30" t="str">
        <x:v>split-0086</x:v>
      </x:c>
      <x:c r="B87" s="30" t="str">
        <x:v>txn-0114</x:v>
      </x:c>
      <x:c r="C87" s="30" t="str">
        <x:v>ca-online-sales</x:v>
      </x:c>
      <x:c r="D87" s="31" t="n">
        <x:v>760000</x:v>
      </x:c>
      <x:c r="E87" s="34" t="n">
        <x:v>7600</x:v>
      </x:c>
      <x:c r="F87" s="30" t="str"/>
    </x:row>
    <x:row r="88">
      <x:c r="A88" s="30" t="str">
        <x:v>split-0087</x:v>
      </x:c>
      <x:c r="B88" s="30" t="str">
        <x:v>txn-0115</x:v>
      </x:c>
      <x:c r="C88" s="30" t="str">
        <x:v>ca-sales-returns</x:v>
      </x:c>
      <x:c r="D88" s="31" t="n">
        <x:v>-38000</x:v>
      </x:c>
      <x:c r="E88" s="34" t="n">
        <x:v>-380</x:v>
      </x:c>
      <x:c r="F88" s="30" t="str"/>
    </x:row>
    <x:row r="89">
      <x:c r="A89" s="30" t="str">
        <x:v>split-0088</x:v>
      </x:c>
      <x:c r="B89" s="30" t="str">
        <x:v>txn-0116</x:v>
      </x:c>
      <x:c r="C89" s="30" t="str">
        <x:v>ca-shipping-income</x:v>
      </x:c>
      <x:c r="D89" s="31" t="n">
        <x:v>8360</x:v>
      </x:c>
      <x:c r="E89" s="34" t="n">
        <x:v>83.6</x:v>
      </x:c>
      <x:c r="F89" s="30" t="str"/>
    </x:row>
    <x:row r="90">
      <x:c r="A90" s="30" t="str">
        <x:v>split-0089</x:v>
      </x:c>
      <x:c r="B90" s="30" t="str">
        <x:v>txn-0117</x:v>
      </x:c>
      <x:c r="C90" s="30" t="str">
        <x:v>ca-commission-fees</x:v>
      </x:c>
      <x:c r="D90" s="31" t="n">
        <x:v>-114000</x:v>
      </x:c>
      <x:c r="E90" s="34" t="n">
        <x:v>-1140</x:v>
      </x:c>
      <x:c r="F90" s="30" t="str"/>
    </x:row>
    <x:row r="91">
      <x:c r="A91" s="30" t="str">
        <x:v>split-0090</x:v>
      </x:c>
      <x:c r="B91" s="30" t="str">
        <x:v>txn-0118</x:v>
      </x:c>
      <x:c r="C91" s="30" t="str">
        <x:v>ca-fulfillment-fees</x:v>
      </x:c>
      <x:c r="D91" s="31" t="n">
        <x:v>-171000</x:v>
      </x:c>
      <x:c r="E91" s="34" t="n">
        <x:v>-1710</x:v>
      </x:c>
      <x:c r="F91" s="30" t="str"/>
    </x:row>
    <x:row r="92">
      <x:c r="A92" s="30" t="str">
        <x:v>split-0091</x:v>
      </x:c>
      <x:c r="B92" s="30" t="str">
        <x:v>txn-0119</x:v>
      </x:c>
      <x:c r="C92" s="30" t="str">
        <x:v>ca-storage-fees</x:v>
      </x:c>
      <x:c r="D92" s="31" t="n">
        <x:v>-15300</x:v>
      </x:c>
      <x:c r="E92" s="34" t="n">
        <x:v>-153</x:v>
      </x:c>
      <x:c r="F92" s="30" t="str"/>
    </x:row>
    <x:row r="93">
      <x:c r="A93" s="30" t="str">
        <x:v>split-0092</x:v>
      </x:c>
      <x:c r="B93" s="30" t="str">
        <x:v>txn-0122</x:v>
      </x:c>
      <x:c r="C93" s="30" t="str">
        <x:v>ca-online-sales</x:v>
      </x:c>
      <x:c r="D93" s="31" t="n">
        <x:v>410000</x:v>
      </x:c>
      <x:c r="E93" s="34" t="n">
        <x:v>4100</x:v>
      </x:c>
      <x:c r="F93" s="30" t="str"/>
    </x:row>
    <x:row r="94">
      <x:c r="A94" s="30" t="str">
        <x:v>split-0093</x:v>
      </x:c>
      <x:c r="B94" s="30" t="str">
        <x:v>txn-0123</x:v>
      </x:c>
      <x:c r="C94" s="30" t="str">
        <x:v>ca-sales-returns</x:v>
      </x:c>
      <x:c r="D94" s="31" t="n">
        <x:v>-26650</x:v>
      </x:c>
      <x:c r="E94" s="34" t="n">
        <x:v>-266.5</x:v>
      </x:c>
      <x:c r="F94" s="30" t="str"/>
    </x:row>
    <x:row r="95">
      <x:c r="A95" s="30" t="str">
        <x:v>split-0094</x:v>
      </x:c>
      <x:c r="B95" s="30" t="str">
        <x:v>txn-0124</x:v>
      </x:c>
      <x:c r="C95" s="30" t="str">
        <x:v>ca-shipping-income</x:v>
      </x:c>
      <x:c r="D95" s="31" t="n">
        <x:v>4510</x:v>
      </x:c>
      <x:c r="E95" s="34" t="n">
        <x:v>45.1</x:v>
      </x:c>
      <x:c r="F95" s="30" t="str"/>
    </x:row>
    <x:row r="96">
      <x:c r="A96" s="30" t="str">
        <x:v>split-0095</x:v>
      </x:c>
      <x:c r="B96" s="30" t="str">
        <x:v>txn-0125</x:v>
      </x:c>
      <x:c r="C96" s="30" t="str">
        <x:v>ca-commission-fees</x:v>
      </x:c>
      <x:c r="D96" s="31" t="n">
        <x:v>-61500</x:v>
      </x:c>
      <x:c r="E96" s="34" t="n">
        <x:v>-615</x:v>
      </x:c>
      <x:c r="F96" s="30" t="str"/>
    </x:row>
    <x:row r="97">
      <x:c r="A97" s="30" t="str">
        <x:v>split-0096</x:v>
      </x:c>
      <x:c r="B97" s="30" t="str">
        <x:v>txn-0126</x:v>
      </x:c>
      <x:c r="C97" s="30" t="str">
        <x:v>ca-fulfillment-fees</x:v>
      </x:c>
      <x:c r="D97" s="31" t="n">
        <x:v>-86100</x:v>
      </x:c>
      <x:c r="E97" s="34" t="n">
        <x:v>-861</x:v>
      </x:c>
      <x:c r="F97" s="30" t="str"/>
    </x:row>
    <x:row r="98">
      <x:c r="A98" s="30" t="str">
        <x:v>split-0097</x:v>
      </x:c>
      <x:c r="B98" s="30" t="str">
        <x:v>txn-0127</x:v>
      </x:c>
      <x:c r="C98" s="30" t="str">
        <x:v>ca-storage-fees</x:v>
      </x:c>
      <x:c r="D98" s="31" t="n">
        <x:v>-16400</x:v>
      </x:c>
      <x:c r="E98" s="34" t="n">
        <x:v>-164</x:v>
      </x:c>
      <x:c r="F98" s="30" t="str"/>
    </x:row>
    <x:row r="99">
      <x:c r="A99" s="30" t="str">
        <x:v>split-0098</x:v>
      </x:c>
      <x:c r="B99" s="30" t="str">
        <x:v>txn-0130</x:v>
      </x:c>
      <x:c r="C99" s="30" t="str">
        <x:v>ca-online-sales</x:v>
      </x:c>
      <x:c r="D99" s="31" t="n">
        <x:v>690000</x:v>
      </x:c>
      <x:c r="E99" s="34" t="n">
        <x:v>6900</x:v>
      </x:c>
      <x:c r="F99" s="30" t="str"/>
    </x:row>
    <x:row r="100">
      <x:c r="A100" s="30" t="str">
        <x:v>split-0099</x:v>
      </x:c>
      <x:c r="B100" s="30" t="str">
        <x:v>txn-0131</x:v>
      </x:c>
      <x:c r="C100" s="30" t="str">
        <x:v>ca-sales-returns</x:v>
      </x:c>
      <x:c r="D100" s="31" t="n">
        <x:v>-34500</x:v>
      </x:c>
      <x:c r="E100" s="34" t="n">
        <x:v>-345</x:v>
      </x:c>
      <x:c r="F100" s="30" t="str"/>
    </x:row>
    <x:row r="101">
      <x:c r="A101" s="30" t="str">
        <x:v>split-0100</x:v>
      </x:c>
      <x:c r="B101" s="30" t="str">
        <x:v>txn-0132</x:v>
      </x:c>
      <x:c r="C101" s="30" t="str">
        <x:v>ca-shipping-income</x:v>
      </x:c>
      <x:c r="D101" s="31" t="n">
        <x:v>7590</x:v>
      </x:c>
      <x:c r="E101" s="34" t="n">
        <x:v>75.9</x:v>
      </x:c>
      <x:c r="F101" s="30" t="str"/>
    </x:row>
    <x:row r="102">
      <x:c r="A102" s="30" t="str">
        <x:v>split-0101</x:v>
      </x:c>
      <x:c r="B102" s="30" t="str">
        <x:v>txn-0133</x:v>
      </x:c>
      <x:c r="C102" s="30" t="str">
        <x:v>ca-commission-fees</x:v>
      </x:c>
      <x:c r="D102" s="31" t="n">
        <x:v>-103500</x:v>
      </x:c>
      <x:c r="E102" s="34" t="n">
        <x:v>-1035</x:v>
      </x:c>
      <x:c r="F102" s="30" t="str"/>
    </x:row>
    <x:row r="103">
      <x:c r="A103" s="30" t="str">
        <x:v>split-0102</x:v>
      </x:c>
      <x:c r="B103" s="30" t="str">
        <x:v>txn-0134</x:v>
      </x:c>
      <x:c r="C103" s="30" t="str">
        <x:v>ca-fulfillment-fees</x:v>
      </x:c>
      <x:c r="D103" s="31" t="n">
        <x:v>-144900</x:v>
      </x:c>
      <x:c r="E103" s="34" t="n">
        <x:v>-1449</x:v>
      </x:c>
      <x:c r="F103" s="30" t="str"/>
    </x:row>
    <x:row r="104">
      <x:c r="A104" s="30" t="str">
        <x:v>split-0103</x:v>
      </x:c>
      <x:c r="B104" s="30" t="str">
        <x:v>txn-0135</x:v>
      </x:c>
      <x:c r="C104" s="30" t="str">
        <x:v>ca-storage-fees</x:v>
      </x:c>
      <x:c r="D104" s="31" t="n">
        <x:v>-17500</x:v>
      </x:c>
      <x:c r="E104" s="34" t="n">
        <x:v>-175</x:v>
      </x:c>
      <x:c r="F104" s="30" t="str"/>
    </x:row>
    <x:row r="105">
      <x:c r="A105" s="30" t="str">
        <x:v>split-0104</x:v>
      </x:c>
      <x:c r="B105" s="30" t="str">
        <x:v>txn-0138</x:v>
      </x:c>
      <x:c r="C105" s="30" t="str">
        <x:v>ca-online-sales</x:v>
      </x:c>
      <x:c r="D105" s="31" t="n">
        <x:v>920000</x:v>
      </x:c>
      <x:c r="E105" s="34" t="n">
        <x:v>9200</x:v>
      </x:c>
      <x:c r="F105" s="30" t="str"/>
    </x:row>
    <x:row r="106">
      <x:c r="A106" s="30" t="str">
        <x:v>split-0105</x:v>
      </x:c>
      <x:c r="B106" s="30" t="str">
        <x:v>txn-0139</x:v>
      </x:c>
      <x:c r="C106" s="30" t="str">
        <x:v>ca-sales-returns</x:v>
      </x:c>
      <x:c r="D106" s="31" t="n">
        <x:v>-46000</x:v>
      </x:c>
      <x:c r="E106" s="34" t="n">
        <x:v>-460</x:v>
      </x:c>
      <x:c r="F106" s="30" t="str"/>
    </x:row>
    <x:row r="107">
      <x:c r="A107" s="30" t="str">
        <x:v>split-0106</x:v>
      </x:c>
      <x:c r="B107" s="30" t="str">
        <x:v>txn-0140</x:v>
      </x:c>
      <x:c r="C107" s="30" t="str">
        <x:v>ca-shipping-income</x:v>
      </x:c>
      <x:c r="D107" s="31" t="n">
        <x:v>10120</x:v>
      </x:c>
      <x:c r="E107" s="34" t="n">
        <x:v>101.2</x:v>
      </x:c>
      <x:c r="F107" s="30" t="str"/>
    </x:row>
    <x:row r="108">
      <x:c r="A108" s="30" t="str">
        <x:v>split-0107</x:v>
      </x:c>
      <x:c r="B108" s="30" t="str">
        <x:v>txn-0141</x:v>
      </x:c>
      <x:c r="C108" s="30" t="str">
        <x:v>ca-commission-fees</x:v>
      </x:c>
      <x:c r="D108" s="31" t="n">
        <x:v>-138000</x:v>
      </x:c>
      <x:c r="E108" s="34" t="n">
        <x:v>-1380</x:v>
      </x:c>
      <x:c r="F108" s="30" t="str"/>
    </x:row>
    <x:row r="109">
      <x:c r="A109" s="30" t="str">
        <x:v>split-0108</x:v>
      </x:c>
      <x:c r="B109" s="30" t="str">
        <x:v>txn-0142</x:v>
      </x:c>
      <x:c r="C109" s="30" t="str">
        <x:v>ca-fulfillment-fees</x:v>
      </x:c>
      <x:c r="D109" s="31" t="n">
        <x:v>-207000</x:v>
      </x:c>
      <x:c r="E109" s="34" t="n">
        <x:v>-2070</x:v>
      </x:c>
      <x:c r="F109" s="30" t="str"/>
    </x:row>
    <x:row r="110">
      <x:c r="A110" s="30" t="str">
        <x:v>split-0109</x:v>
      </x:c>
      <x:c r="B110" s="30" t="str">
        <x:v>txn-0143</x:v>
      </x:c>
      <x:c r="C110" s="30" t="str">
        <x:v>ca-storage-fees</x:v>
      </x:c>
      <x:c r="D110" s="31" t="n">
        <x:v>-18600</x:v>
      </x:c>
      <x:c r="E110" s="34" t="n">
        <x:v>-186</x:v>
      </x:c>
      <x:c r="F110" s="30" t="str"/>
    </x:row>
    <x:row r="111">
      <x:c r="A111" s="30" t="str">
        <x:v>split-0110</x:v>
      </x:c>
      <x:c r="B111" s="30" t="str">
        <x:v>txn-0146</x:v>
      </x:c>
      <x:c r="C111" s="30" t="str">
        <x:v>ca-online-sales</x:v>
      </x:c>
      <x:c r="D111" s="31" t="n">
        <x:v>1010000</x:v>
      </x:c>
      <x:c r="E111" s="34" t="n">
        <x:v>10100</x:v>
      </x:c>
      <x:c r="F111" s="30" t="str"/>
    </x:row>
    <x:row r="112">
      <x:c r="A112" s="30" t="str">
        <x:v>split-0111</x:v>
      </x:c>
      <x:c r="B112" s="30" t="str">
        <x:v>txn-0147</x:v>
      </x:c>
      <x:c r="C112" s="30" t="str">
        <x:v>ca-sales-returns</x:v>
      </x:c>
      <x:c r="D112" s="31" t="n">
        <x:v>-50500</x:v>
      </x:c>
      <x:c r="E112" s="34" t="n">
        <x:v>-505</x:v>
      </x:c>
      <x:c r="F112" s="30" t="str"/>
    </x:row>
    <x:row r="113">
      <x:c r="A113" s="30" t="str">
        <x:v>split-0112</x:v>
      </x:c>
      <x:c r="B113" s="30" t="str">
        <x:v>txn-0148</x:v>
      </x:c>
      <x:c r="C113" s="30" t="str">
        <x:v>ca-shipping-income</x:v>
      </x:c>
      <x:c r="D113" s="31" t="n">
        <x:v>11110</x:v>
      </x:c>
      <x:c r="E113" s="34" t="n">
        <x:v>111.1</x:v>
      </x:c>
      <x:c r="F113" s="30" t="str"/>
    </x:row>
    <x:row r="114">
      <x:c r="A114" s="30" t="str">
        <x:v>split-0113</x:v>
      </x:c>
      <x:c r="B114" s="30" t="str">
        <x:v>txn-0149</x:v>
      </x:c>
      <x:c r="C114" s="30" t="str">
        <x:v>ca-commission-fees</x:v>
      </x:c>
      <x:c r="D114" s="31" t="n">
        <x:v>-151500</x:v>
      </x:c>
      <x:c r="E114" s="34" t="n">
        <x:v>-1515</x:v>
      </x:c>
      <x:c r="F114" s="30" t="str"/>
    </x:row>
    <x:row r="115">
      <x:c r="A115" s="30" t="str">
        <x:v>split-0114</x:v>
      </x:c>
      <x:c r="B115" s="30" t="str">
        <x:v>txn-0150</x:v>
      </x:c>
      <x:c r="C115" s="30" t="str">
        <x:v>ca-fulfillment-fees</x:v>
      </x:c>
      <x:c r="D115" s="31" t="n">
        <x:v>-212100</x:v>
      </x:c>
      <x:c r="E115" s="34" t="n">
        <x:v>-2121</x:v>
      </x:c>
      <x:c r="F115" s="30" t="str"/>
    </x:row>
    <x:row r="116">
      <x:c r="A116" s="30" t="str">
        <x:v>split-0115</x:v>
      </x:c>
      <x:c r="B116" s="30" t="str">
        <x:v>txn-0151</x:v>
      </x:c>
      <x:c r="C116" s="30" t="str">
        <x:v>ca-storage-fees</x:v>
      </x:c>
      <x:c r="D116" s="31" t="n">
        <x:v>-19700</x:v>
      </x:c>
      <x:c r="E116" s="34" t="n">
        <x:v>-197</x:v>
      </x:c>
      <x:c r="F116" s="30" t="str"/>
    </x:row>
    <x:row r="117">
      <x:c r="A117" s="30" t="str">
        <x:v>split-0116</x:v>
      </x:c>
      <x:c r="B117" s="30" t="str">
        <x:v>txn-0154</x:v>
      </x:c>
      <x:c r="C117" s="30" t="str">
        <x:v>ca-online-sales</x:v>
      </x:c>
      <x:c r="D117" s="31" t="n">
        <x:v>360000</x:v>
      </x:c>
      <x:c r="E117" s="34" t="n">
        <x:v>3600</x:v>
      </x:c>
      <x:c r="F117" s="30" t="str"/>
    </x:row>
    <x:row r="118">
      <x:c r="A118" s="30" t="str">
        <x:v>split-0117</x:v>
      </x:c>
      <x:c r="B118" s="30" t="str">
        <x:v>txn-0155</x:v>
      </x:c>
      <x:c r="C118" s="30" t="str">
        <x:v>ca-sales-returns</x:v>
      </x:c>
      <x:c r="D118" s="31" t="n">
        <x:v>-23400</x:v>
      </x:c>
      <x:c r="E118" s="34" t="n">
        <x:v>-234</x:v>
      </x:c>
      <x:c r="F118" s="30" t="str"/>
    </x:row>
    <x:row r="119">
      <x:c r="A119" s="30" t="str">
        <x:v>split-0118</x:v>
      </x:c>
      <x:c r="B119" s="30" t="str">
        <x:v>txn-0156</x:v>
      </x:c>
      <x:c r="C119" s="30" t="str">
        <x:v>ca-shipping-income</x:v>
      </x:c>
      <x:c r="D119" s="31" t="n">
        <x:v>3960</x:v>
      </x:c>
      <x:c r="E119" s="34" t="n">
        <x:v>39.6</x:v>
      </x:c>
      <x:c r="F119" s="30" t="str"/>
    </x:row>
    <x:row r="120">
      <x:c r="A120" s="30" t="str">
        <x:v>split-0119</x:v>
      </x:c>
      <x:c r="B120" s="30" t="str">
        <x:v>txn-0157</x:v>
      </x:c>
      <x:c r="C120" s="30" t="str">
        <x:v>ca-commission-fees</x:v>
      </x:c>
      <x:c r="D120" s="31" t="n">
        <x:v>-54000</x:v>
      </x:c>
      <x:c r="E120" s="34" t="n">
        <x:v>-540</x:v>
      </x:c>
      <x:c r="F120" s="30" t="str"/>
    </x:row>
    <x:row r="121">
      <x:c r="A121" s="30" t="str">
        <x:v>split-0120</x:v>
      </x:c>
      <x:c r="B121" s="30" t="str">
        <x:v>txn-0158</x:v>
      </x:c>
      <x:c r="C121" s="30" t="str">
        <x:v>ca-fulfillment-fees</x:v>
      </x:c>
      <x:c r="D121" s="31" t="n">
        <x:v>-75600</x:v>
      </x:c>
      <x:c r="E121" s="34" t="n">
        <x:v>-756</x:v>
      </x:c>
      <x:c r="F121" s="30" t="str"/>
    </x:row>
    <x:row r="122">
      <x:c r="A122" s="30" t="str">
        <x:v>split-0121</x:v>
      </x:c>
      <x:c r="B122" s="30" t="str">
        <x:v>txn-0159</x:v>
      </x:c>
      <x:c r="C122" s="30" t="str">
        <x:v>ca-storage-fees</x:v>
      </x:c>
      <x:c r="D122" s="31" t="n">
        <x:v>-20800</x:v>
      </x:c>
      <x:c r="E122" s="34" t="n">
        <x:v>-208</x:v>
      </x:c>
      <x:c r="F122" s="30" t="str"/>
    </x:row>
    <x:row r="123">
      <x:c r="A123" s="30" t="str">
        <x:v>split-0122</x:v>
      </x:c>
      <x:c r="B123" s="30" t="str">
        <x:v>txn-0160</x:v>
      </x:c>
      <x:c r="C123" s="30" t="str">
        <x:v>ca-platform-fees-parent</x:v>
      </x:c>
      <x:c r="D123" s="31" t="n">
        <x:v>-7500</x:v>
      </x:c>
      <x:c r="E123" s="34" t="n">
        <x:v>-75</x:v>
      </x:c>
      <x:c r="F123" s="30" t="str"/>
    </x:row>
    <x:row r="124">
      <x:c r="A124" s="30" t="str">
        <x:v>split-0123</x:v>
      </x:c>
      <x:c r="B124" s="30" t="str">
        <x:v>txn-0163</x:v>
      </x:c>
      <x:c r="C124" s="30" t="str">
        <x:v>ca-owner-contributions</x:v>
      </x:c>
      <x:c r="D124" s="31" t="n">
        <x:v>400000</x:v>
      </x:c>
      <x:c r="E124" s="34" t="n">
        <x:v>4000</x:v>
      </x:c>
      <x:c r="F124" s="30" t="str"/>
    </x:row>
    <x:row r="125">
      <x:c r="A125" s="30" t="str">
        <x:v>split-0124</x:v>
      </x:c>
      <x:c r="B125" s="30" t="str">
        <x:v>txn-0164</x:v>
      </x:c>
      <x:c r="C125" s="30" t="str">
        <x:v>ca-insurance</x:v>
      </x:c>
      <x:c r="D125" s="31" t="n">
        <x:v>-60000</x:v>
      </x:c>
      <x:c r="E125" s="34" t="n">
        <x:v>-600</x:v>
      </x:c>
      <x:c r="F125" s="30" t="str"/>
    </x:row>
    <x:row r="126">
      <x:c r="A126" s="30" t="str">
        <x:v>split-0125</x:v>
      </x:c>
      <x:c r="B126" s="30" t="str">
        <x:v>txn-0167</x:v>
      </x:c>
      <x:c r="C126" s="30" t="str">
        <x:v>ca-equipment-parent</x:v>
      </x:c>
      <x:c r="D126" s="31" t="n">
        <x:v>-240000</x:v>
      </x:c>
      <x:c r="E126" s="34" t="n">
        <x:v>-2400</x:v>
      </x:c>
      <x:c r="F126" s="30" t="str"/>
    </x:row>
    <x:row r="127">
      <x:c r="A127" s="30" t="str">
        <x:v>split-0126</x:v>
      </x:c>
      <x:c r="B127" s="30" t="str">
        <x:v>txn-0168</x:v>
      </x:c>
      <x:c r="C127" s="30" t="str">
        <x:v>ca-long-term-loan</x:v>
      </x:c>
      <x:c r="D127" s="31" t="n">
        <x:v>800000</x:v>
      </x:c>
      <x:c r="E127" s="34" t="n">
        <x:v>8000</x:v>
      </x:c>
      <x:c r="F127" s="30" t="str"/>
    </x:row>
    <x:row r="128">
      <x:c r="A128" s="30" t="str">
        <x:v>split-0127</x:v>
      </x:c>
      <x:c r="B128" s="30" t="str">
        <x:v>txn-0169</x:v>
      </x:c>
      <x:c r="C128" s="30" t="str">
        <x:v>ca-software</x:v>
      </x:c>
      <x:c r="D128" s="31" t="n">
        <x:v>-24000</x:v>
      </x:c>
      <x:c r="E128" s="34" t="n">
        <x:v>-240</x:v>
      </x:c>
      <x:c r="F128" s="30" t="str"/>
    </x:row>
    <x:row r="129">
      <x:c r="A129" s="30" t="str">
        <x:v>split-0128</x:v>
      </x:c>
      <x:c r="B129" s="30" t="str">
        <x:v>txn-0170</x:v>
      </x:c>
      <x:c r="C129" s="30" t="str">
        <x:v>ca-advertising</x:v>
      </x:c>
      <x:c r="D129" s="31" t="n">
        <x:v>-70000</x:v>
      </x:c>
      <x:c r="E129" s="34" t="n">
        <x:v>-700</x:v>
      </x:c>
      <x:c r="F129" s="30" t="str"/>
    </x:row>
    <x:row r="130">
      <x:c r="A130" s="30" t="str">
        <x:v>split-0129</x:v>
      </x:c>
      <x:c r="B130" s="30" t="str">
        <x:v>txn-0175</x:v>
      </x:c>
      <x:c r="C130" s="30" t="str">
        <x:v>ca-interest-income</x:v>
      </x:c>
      <x:c r="D130" s="31" t="n">
        <x:v>4500</x:v>
      </x:c>
      <x:c r="E130" s="34" t="n">
        <x:v>45</x:v>
      </x:c>
      <x:c r="F130" s="30" t="str"/>
    </x:row>
    <x:row r="131">
      <x:c r="A131" s="30" t="str">
        <x:v>split-0130</x:v>
      </x:c>
      <x:c r="B131" s="30" t="str">
        <x:v>txn-0176</x:v>
      </x:c>
      <x:c r="C131" s="30" t="str">
        <x:v>ca-owner-draws</x:v>
      </x:c>
      <x:c r="D131" s="31" t="n">
        <x:v>-120000</x:v>
      </x:c>
      <x:c r="E131" s="34" t="n">
        <x:v>-1200</x:v>
      </x:c>
      <x:c r="F131" s="30" t="str"/>
    </x:row>
    <x:row r="132">
      <x:c r="A132" s="30" t="str">
        <x:v>split-0131</x:v>
      </x:c>
      <x:c r="B132" s="30" t="str">
        <x:v>txn-0177</x:v>
      </x:c>
      <x:c r="C132" s="30" t="str">
        <x:v>ca-long-term-loan</x:v>
      </x:c>
      <x:c r="D132" s="31" t="n">
        <x:v>-80000</x:v>
      </x:c>
      <x:c r="E132" s="34" t="n">
        <x:v>-800</x:v>
      </x:c>
      <x:c r="F132" s="30" t="str"/>
    </x:row>
    <x:row r="133">
      <x:c r="A133" s="30" t="str">
        <x:v>split-0132</x:v>
      </x:c>
      <x:c r="B133" s="30" t="str">
        <x:v>txn-0177</x:v>
      </x:c>
      <x:c r="C133" s="30" t="str">
        <x:v>ca-interest-expense</x:v>
      </x:c>
      <x:c r="D133" s="31" t="n">
        <x:v>-20000</x:v>
      </x:c>
      <x:c r="E133" s="34" t="n">
        <x:v>-200</x:v>
      </x:c>
      <x:c r="F133" s="30" t="str"/>
    </x:row>
    <x:row r="134">
      <x:c r="A134" s="30" t="str">
        <x:v>split-0133</x:v>
      </x:c>
      <x:c r="B134" s="30" t="str">
        <x:v>txn-0178</x:v>
      </x:c>
      <x:c r="C134" s="30" t="str">
        <x:v>ca-prepaid-insurance</x:v>
      </x:c>
      <x:c r="D134" s="31" t="n">
        <x:v>-120000</x:v>
      </x:c>
      <x:c r="E134" s="34" t="n">
        <x:v>-1200</x:v>
      </x:c>
      <x:c r="F134" s="30" t="str"/>
    </x:row>
    <x:row r="135">
      <x:c r="A135" s="30" t="str">
        <x:v>split-0134</x:v>
      </x:c>
      <x:c r="B135" s="30" t="str">
        <x:v>txn-0179</x:v>
      </x:c>
      <x:c r="C135" s="30" t="str">
        <x:v>ca-product-costs</x:v>
      </x:c>
      <x:c r="D135" s="31" t="n">
        <x:v>-780000</x:v>
      </x:c>
      <x:c r="E135" s="34" t="n">
        <x:v>-7800</x:v>
      </x:c>
      <x:c r="F135" s="30" t="str"/>
    </x:row>
    <x:row r="136">
      <x:c r="A136" s="30" t="str">
        <x:v>split-0135</x:v>
      </x:c>
      <x:c r="B136" s="30" t="str">
        <x:v>txn-0182</x:v>
      </x:c>
      <x:c r="C136" s="30" t="str">
        <x:v>ca-product-costs</x:v>
      </x:c>
      <x:c r="D136" s="31" t="n">
        <x:v>780000</x:v>
      </x:c>
      <x:c r="E136" s="34" t="n">
        <x:v>7800</x:v>
      </x:c>
      <x:c r="F136" s="30" t="str"/>
    </x:row>
    <x:row r="137">
      <x:c r="A137" s="30" t="str">
        <x:v>split-0136</x:v>
      </x:c>
      <x:c r="B137" s="30" t="str">
        <x:v>txn-0183</x:v>
      </x:c>
      <x:c r="C137" s="30" t="str">
        <x:v>ca-owner-contributions</x:v>
      </x:c>
      <x:c r="D137" s="31" t="n">
        <x:v>200000</x:v>
      </x:c>
      <x:c r="E137" s="34" t="n">
        <x:v>2000</x:v>
      </x:c>
      <x:c r="F137" s="30" t="str"/>
    </x:row>
    <x:row r="138">
      <x:c r="A138" s="30" t="str">
        <x:v>split-0137</x:v>
      </x:c>
      <x:c r="B138" s="30" t="str">
        <x:v>txn-0184</x:v>
      </x:c>
      <x:c r="C138" s="30" t="str">
        <x:v>ca-short-term-loan</x:v>
      </x:c>
      <x:c r="D138" s="31" t="n">
        <x:v>250000</x:v>
      </x:c>
      <x:c r="E138" s="34" t="n">
        <x:v>2500</x:v>
      </x:c>
      <x:c r="F138" s="30" t="str"/>
    </x:row>
    <x:row r="139">
      <x:c r="A139" s="30" t="str">
        <x:v>split-0138</x:v>
      </x:c>
      <x:c r="B139" s="30" t="str">
        <x:v>txn-0185</x:v>
      </x:c>
      <x:c r="C139" s="30" t="str">
        <x:v>ca-software</x:v>
      </x:c>
      <x:c r="D139" s="31" t="n">
        <x:v>-30000</x:v>
      </x:c>
      <x:c r="E139" s="34" t="n">
        <x:v>-300</x:v>
      </x:c>
      <x:c r="F139" s="30" t="str"/>
    </x:row>
    <x:row r="140">
      <x:c r="A140" s="30" t="str">
        <x:v>split-0139</x:v>
      </x:c>
      <x:c r="B140" s="30" t="str">
        <x:v>txn-0186</x:v>
      </x:c>
      <x:c r="C140" s="30" t="str">
        <x:v>ca-advertising</x:v>
      </x:c>
      <x:c r="D140" s="31" t="n">
        <x:v>-90000</x:v>
      </x:c>
      <x:c r="E140" s="34" t="n">
        <x:v>-900</x:v>
      </x:c>
      <x:c r="F140" s="30" t="str"/>
    </x:row>
    <x:row r="141">
      <x:c r="A141" s="30" t="str">
        <x:v>split-0140</x:v>
      </x:c>
      <x:c r="B141" s="30" t="str">
        <x:v>txn-0191</x:v>
      </x:c>
      <x:c r="C141" s="30" t="str">
        <x:v>ca-equipment-computers</x:v>
      </x:c>
      <x:c r="D141" s="31" t="n">
        <x:v>-180000</x:v>
      </x:c>
      <x:c r="E141" s="34" t="n">
        <x:v>-1800</x:v>
      </x:c>
      <x:c r="F141" s="30" t="str"/>
    </x:row>
    <x:row r="142">
      <x:c r="A142" s="30" t="str">
        <x:v>split-0141</x:v>
      </x:c>
      <x:c r="B142" s="30" t="str">
        <x:v>txn-0192</x:v>
      </x:c>
      <x:c r="C142" s="30" t="str">
        <x:v>ca-long-term-loan</x:v>
      </x:c>
      <x:c r="D142" s="31" t="n">
        <x:v>-60000</x:v>
      </x:c>
      <x:c r="E142" s="34" t="n">
        <x:v>-600</x:v>
      </x:c>
      <x:c r="F142" s="30" t="str"/>
    </x:row>
    <x:row r="143">
      <x:c r="A143" s="30" t="str">
        <x:v>split-0142</x:v>
      </x:c>
      <x:c r="B143" s="30" t="str">
        <x:v>txn-0192</x:v>
      </x:c>
      <x:c r="C143" s="30" t="str">
        <x:v>ca-interest-expense</x:v>
      </x:c>
      <x:c r="D143" s="31" t="n">
        <x:v>-10000</x:v>
      </x:c>
      <x:c r="E143" s="34" t="n">
        <x:v>-100</x:v>
      </x:c>
      <x:c r="F143" s="30" t="str"/>
    </x:row>
    <x:row r="144">
      <x:c r="A144" s="30" t="str">
        <x:v>split-0143</x:v>
      </x:c>
      <x:c r="B144" s="30" t="str">
        <x:v>txn-0193</x:v>
      </x:c>
      <x:c r="C144" s="30" t="str">
        <x:v>ca-owner-draws</x:v>
      </x:c>
      <x:c r="D144" s="31" t="n">
        <x:v>-80000</x:v>
      </x:c>
      <x:c r="E144" s="34" t="n">
        <x:v>-800</x:v>
      </x:c>
      <x:c r="F144" s="30" t="str"/>
    </x:row>
    <x:row r="145">
      <x:c r="A145" s="30" t="str">
        <x:v>split-0144</x:v>
      </x:c>
      <x:c r="B145" s="30" t="str">
        <x:v>txn-0194</x:v>
      </x:c>
      <x:c r="C145" s="30" t="str">
        <x:v>ca-service-income</x:v>
      </x:c>
      <x:c r="D145" s="31" t="n">
        <x:v>65000</x:v>
      </x:c>
      <x:c r="E145" s="34" t="n">
        <x:v>650</x:v>
      </x:c>
      <x:c r="F145" s="30" t="str"/>
    </x:row>
    <x:row r="146">
      <x:c r="A146" s="30" t="str">
        <x:v>split-0145</x:v>
      </x:c>
      <x:c r="B146" s="30" t="str">
        <x:v>txn-0195</x:v>
      </x:c>
      <x:c r="C146" s="30" t="str">
        <x:v>ca-product-costs</x:v>
      </x:c>
      <x:c r="D146" s="31" t="n">
        <x:v>-650000</x:v>
      </x:c>
      <x:c r="E146" s="34" t="n">
        <x:v>-6500</x:v>
      </x:c>
      <x:c r="F146" s="30" t="str"/>
    </x:row>
    <x:row r="147">
      <x:c r="A147" s="30" t="str">
        <x:v>split-0146</x:v>
      </x:c>
      <x:c r="B147" s="30" t="str">
        <x:v>txn-0198</x:v>
      </x:c>
      <x:c r="C147" s="30" t="str">
        <x:v>ca-advertising</x:v>
      </x:c>
      <x:c r="D147" s="31" t="n">
        <x:v>-120000</x:v>
      </x:c>
      <x:c r="E147" s="34" t="n">
        <x:v>-1200</x:v>
      </x:c>
      <x:c r="F147" s="3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34" hidden="0" customWidth="1"/>
    <x:col min="5" max="5" width="10.4399995803833" hidden="0" customWidth="1"/>
    <x:col min="6" max="6" width="24.559999465942383" hidden="0" customWidth="1"/>
    <x:col min="7" max="7" width="18" hidden="0" customWidth="1"/>
    <x:col min="8" max="8" width="16" hidden="0" customWidth="1"/>
    <x:col min="9" max="9" width="16.440000534057617" hidden="0" customWidth="1"/>
  </x:cols>
  <x:sheetData>
    <x:row r="1" ht="32" customHeight="1">
      <x:c r="A1" s="29" t="str">
        <x:v>As Of</x:v>
      </x:c>
      <x:c r="B1" s="29" t="str">
        <x:v>Section</x:v>
      </x:c>
      <x:c r="C1" s="29" t="str">
        <x:v>Account Type</x:v>
      </x:c>
      <x:c r="D1" s="29" t="str">
        <x:v>Label</x:v>
      </x:c>
      <x:c r="E1" s="29" t="str">
        <x:v>Row Kind</x:v>
      </x:c>
      <x:c r="F1" s="29" t="str">
        <x:v>Semantic Key</x:v>
      </x:c>
      <x:c r="G1" s="29" t="str">
        <x:v>Amount Minor</x:v>
      </x:c>
      <x:c r="H1" s="29" t="str">
        <x:v>Amount</x:v>
      </x:c>
      <x:c r="I1" s="29" t="str">
        <x:v>Source</x:v>
      </x:c>
    </x:row>
    <x:row r="2">
      <x:c r="A2" s="32" t="n">
        <x:v>46022</x:v>
      </x:c>
      <x:c r="B2" s="30" t="str">
        <x:v>Liability</x:v>
      </x:c>
      <x:c r="C2" s="30" t="str">
        <x:v>CREDIT_CARD</x:v>
      </x:c>
      <x:c r="D2" s="30" t="str">
        <x:v>Business rewards card</x:v>
      </x:c>
      <x:c r="E2" s="30" t="str">
        <x:v>ACCOUNT</x:v>
      </x:c>
      <x:c r="F2" s="30" t="str">
        <x:v>financial:fin-card</x:v>
      </x:c>
      <x:c r="G2" s="31" t="n">
        <x:v>120000</x:v>
      </x:c>
      <x:c r="H2" s="34" t="n">
        <x:v>1200</x:v>
      </x:c>
      <x:c r="I2" s="30" t="str">
        <x:v>FINANCIAL_SOURCE</x:v>
      </x:c>
    </x:row>
    <x:row r="3">
      <x:c r="A3" s="32" t="n">
        <x:v>46022</x:v>
      </x:c>
      <x:c r="B3" s="30" t="str">
        <x:v>Asset</x:v>
      </x:c>
      <x:c r="C3" s="30" t="str">
        <x:v>BANK</x:v>
      </x:c>
      <x:c r="D3" s="30" t="str">
        <x:v>Business savings (archived)</x:v>
      </x:c>
      <x:c r="E3" s="30" t="str">
        <x:v>ACCOUNT</x:v>
      </x:c>
      <x:c r="F3" s="30" t="str">
        <x:v>financial:fin-bank-savings</x:v>
      </x:c>
      <x:c r="G3" s="31" t="n">
        <x:v>504500</x:v>
      </x:c>
      <x:c r="H3" s="34" t="n">
        <x:v>5045</x:v>
      </x:c>
      <x:c r="I3" s="30" t="str">
        <x:v>FINANCIAL_SOURCE</x:v>
      </x:c>
    </x:row>
    <x:row r="4">
      <x:c r="A4" s="32" t="n">
        <x:v>46022</x:v>
      </x:c>
      <x:c r="B4" s="30" t="str">
        <x:v>Asset</x:v>
      </x:c>
      <x:c r="C4" s="30" t="str">
        <x:v>OTHER_CURRENT_ASSET</x:v>
      </x:c>
      <x:c r="D4" s="30" t="str">
        <x:v>Inventory tracking</x:v>
      </x:c>
      <x:c r="E4" s="30" t="str">
        <x:v>ACCOUNT</x:v>
      </x:c>
      <x:c r="F4" s="30" t="str">
        <x:v>financial:fin-inventory</x:v>
      </x:c>
      <x:c r="G4" s="31" t="n">
        <x:v>720000</x:v>
      </x:c>
      <x:c r="H4" s="34" t="n">
        <x:v>7200</x:v>
      </x:c>
      <x:c r="I4" s="30" t="str">
        <x:v>FINANCIAL_SOURCE</x:v>
      </x:c>
    </x:row>
    <x:row r="5">
      <x:c r="A5" s="32" t="n">
        <x:v>46022</x:v>
      </x:c>
      <x:c r="B5" s="30" t="str">
        <x:v>Asset</x:v>
      </x:c>
      <x:c r="C5" s="30" t="str">
        <x:v>Unclassified accounts</x:v>
      </x:c>
      <x:c r="D5" s="30" t="str">
        <x:v>Legacy clearing (review required)</x:v>
      </x:c>
      <x:c r="E5" s="30" t="str">
        <x:v>ACCOUNT</x:v>
      </x:c>
      <x:c r="F5" s="30" t="str">
        <x:v>financial:fin-legacy-clearing</x:v>
      </x:c>
      <x:c r="G5" s="31" t="n">
        <x:v>12500</x:v>
      </x:c>
      <x:c r="H5" s="34" t="n">
        <x:v>125</x:v>
      </x:c>
      <x:c r="I5" s="30" t="str">
        <x:v>FINANCIAL_SOURCE</x:v>
      </x:c>
    </x:row>
    <x:row r="6">
      <x:c r="A6" s="32" t="n">
        <x:v>46022</x:v>
      </x:c>
      <x:c r="B6" s="30" t="str">
        <x:v>Asset</x:v>
      </x:c>
      <x:c r="C6" s="30" t="str">
        <x:v>BANK</x:v>
      </x:c>
      <x:c r="D6" s="30" t="str">
        <x:v>Operating checking</x:v>
      </x:c>
      <x:c r="E6" s="30" t="str">
        <x:v>ACCOUNT</x:v>
      </x:c>
      <x:c r="F6" s="30" t="str">
        <x:v>financial:fin-bank-operating</x:v>
      </x:c>
      <x:c r="G6" s="31" t="n">
        <x:v>9033060</x:v>
      </x:c>
      <x:c r="H6" s="34" t="n">
        <x:v>90330.6</x:v>
      </x:c>
      <x:c r="I6" s="30" t="str">
        <x:v>FINANCIAL_SOURCE</x:v>
      </x:c>
    </x:row>
    <x:row r="7">
      <x:c r="A7" s="32" t="n">
        <x:v>46022</x:v>
      </x:c>
      <x:c r="B7" s="30" t="str">
        <x:v>Asset</x:v>
      </x:c>
      <x:c r="C7" s="30" t="str">
        <x:v>OTHER_CURRENT_ASSET</x:v>
      </x:c>
      <x:c r="D7" s="30" t="str">
        <x:v>Prepaid expenses</x:v>
      </x:c>
      <x:c r="E7" s="30" t="str">
        <x:v>ACCOUNT</x:v>
      </x:c>
      <x:c r="F7" s="30" t="str">
        <x:v>chart:ca-prepaid-parent</x:v>
      </x:c>
      <x:c r="G7" s="31" t="n">
        <x:v>0</x:v>
      </x:c>
      <x:c r="H7" s="34" t="n">
        <x:v>0</x:v>
      </x:c>
      <x:c r="I7" s="30" t="str">
        <x:v>CHART_ACCOUNT</x:v>
      </x:c>
    </x:row>
    <x:row r="8">
      <x:c r="A8" s="32" t="n">
        <x:v>46022</x:v>
      </x:c>
      <x:c r="B8" s="30" t="str">
        <x:v>Asset</x:v>
      </x:c>
      <x:c r="C8" s="30" t="str">
        <x:v>OTHER_CURRENT_ASSET</x:v>
      </x:c>
      <x:c r="D8" s="30" t="str">
        <x:v>  Prepaid insurance</x:v>
      </x:c>
      <x:c r="E8" s="30" t="str">
        <x:v>ACCOUNT</x:v>
      </x:c>
      <x:c r="F8" s="30" t="str">
        <x:v>chart:ca-prepaid-insurance</x:v>
      </x:c>
      <x:c r="G8" s="31" t="n">
        <x:v>120000</x:v>
      </x:c>
      <x:c r="H8" s="34" t="n">
        <x:v>1200</x:v>
      </x:c>
      <x:c r="I8" s="30" t="str">
        <x:v>CHART_ACCOUNT</x:v>
      </x:c>
    </x:row>
    <x:row r="9">
      <x:c r="A9" s="32" t="n">
        <x:v>46022</x:v>
      </x:c>
      <x:c r="B9" s="30" t="str">
        <x:v>Asset</x:v>
      </x:c>
      <x:c r="C9" s="30" t="str">
        <x:v>OTHER_CURRENT_ASSET</x:v>
      </x:c>
      <x:c r="D9" s="30" t="str">
        <x:v>Total for Prepaid expenses</x:v>
      </x:c>
      <x:c r="E9" s="30" t="str">
        <x:v>SUBTOTAL</x:v>
      </x:c>
      <x:c r="F9" s="30" t="str">
        <x:v>subtotal:ca-prepaid-parent</x:v>
      </x:c>
      <x:c r="G9" s="31" t="n">
        <x:v>120000</x:v>
      </x:c>
      <x:c r="H9" s="34" t="n">
        <x:v>1200</x:v>
      </x:c>
      <x:c r="I9" s="30" t="str">
        <x:v>SYNTHETIC</x:v>
      </x:c>
    </x:row>
    <x:row r="10">
      <x:c r="A10" s="32" t="n">
        <x:v>46022</x:v>
      </x:c>
      <x:c r="B10" s="30" t="str">
        <x:v>Asset</x:v>
      </x:c>
      <x:c r="C10" s="30" t="str">
        <x:v>FIXED_ASSET</x:v>
      </x:c>
      <x:c r="D10" s="30" t="str">
        <x:v>Equipment</x:v>
      </x:c>
      <x:c r="E10" s="30" t="str">
        <x:v>ACCOUNT</x:v>
      </x:c>
      <x:c r="F10" s="30" t="str">
        <x:v>chart:ca-equipment-parent</x:v>
      </x:c>
      <x:c r="G10" s="31" t="n">
        <x:v>240000</x:v>
      </x:c>
      <x:c r="H10" s="34" t="n">
        <x:v>2400</x:v>
      </x:c>
      <x:c r="I10" s="30" t="str">
        <x:v>CHART_ACCOUNT</x:v>
      </x:c>
    </x:row>
    <x:row r="11">
      <x:c r="A11" s="32" t="n">
        <x:v>46022</x:v>
      </x:c>
      <x:c r="B11" s="30" t="str">
        <x:v>Asset</x:v>
      </x:c>
      <x:c r="C11" s="30" t="str">
        <x:v>FIXED_ASSET</x:v>
      </x:c>
      <x:c r="D11" s="30" t="str">
        <x:v>Total for Equipment</x:v>
      </x:c>
      <x:c r="E11" s="30" t="str">
        <x:v>SUBTOTAL</x:v>
      </x:c>
      <x:c r="F11" s="30" t="str">
        <x:v>subtotal:ca-equipment-parent</x:v>
      </x:c>
      <x:c r="G11" s="31" t="n">
        <x:v>240000</x:v>
      </x:c>
      <x:c r="H11" s="34" t="n">
        <x:v>2400</x:v>
      </x:c>
      <x:c r="I11" s="30" t="str">
        <x:v>SYNTHETIC</x:v>
      </x:c>
    </x:row>
    <x:row r="12">
      <x:c r="A12" s="32" t="n">
        <x:v>46022</x:v>
      </x:c>
      <x:c r="B12" s="30" t="str">
        <x:v>Liability</x:v>
      </x:c>
      <x:c r="C12" s="30" t="str">
        <x:v>LONG_TERM_LIABILITY</x:v>
      </x:c>
      <x:c r="D12" s="30" t="str">
        <x:v>Term loan payable</x:v>
      </x:c>
      <x:c r="E12" s="30" t="str">
        <x:v>ACCOUNT</x:v>
      </x:c>
      <x:c r="F12" s="30" t="str">
        <x:v>chart:ca-long-term-loan</x:v>
      </x:c>
      <x:c r="G12" s="31" t="n">
        <x:v>720000</x:v>
      </x:c>
      <x:c r="H12" s="34" t="n">
        <x:v>7200</x:v>
      </x:c>
      <x:c r="I12" s="30" t="str">
        <x:v>CHART_ACCOUNT</x:v>
      </x:c>
    </x:row>
    <x:row r="13">
      <x:c r="A13" s="32" t="n">
        <x:v>46022</x:v>
      </x:c>
      <x:c r="B13" s="30" t="str">
        <x:v>Equity</x:v>
      </x:c>
      <x:c r="C13" s="30" t="str">
        <x:v>EQUITY</x:v>
      </x:c>
      <x:c r="D13" s="30" t="str">
        <x:v>Owner equity</x:v>
      </x:c>
      <x:c r="E13" s="30" t="str">
        <x:v>ACCOUNT</x:v>
      </x:c>
      <x:c r="F13" s="30" t="str">
        <x:v>chart:ca-owner-equity-parent</x:v>
      </x:c>
      <x:c r="G13" s="31" t="n">
        <x:v>0</x:v>
      </x:c>
      <x:c r="H13" s="34" t="n">
        <x:v>0</x:v>
      </x:c>
      <x:c r="I13" s="30" t="str">
        <x:v>CHART_ACCOUNT</x:v>
      </x:c>
    </x:row>
    <x:row r="14">
      <x:c r="A14" s="32" t="n">
        <x:v>46022</x:v>
      </x:c>
      <x:c r="B14" s="30" t="str">
        <x:v>Equity</x:v>
      </x:c>
      <x:c r="C14" s="30" t="str">
        <x:v>EQUITY</x:v>
      </x:c>
      <x:c r="D14" s="30" t="str">
        <x:v>  Contributions</x:v>
      </x:c>
      <x:c r="E14" s="30" t="str">
        <x:v>ACCOUNT</x:v>
      </x:c>
      <x:c r="F14" s="30" t="str">
        <x:v>chart:ca-owner-contributions</x:v>
      </x:c>
      <x:c r="G14" s="31" t="n">
        <x:v>400000</x:v>
      </x:c>
      <x:c r="H14" s="34" t="n">
        <x:v>4000</x:v>
      </x:c>
      <x:c r="I14" s="30" t="str">
        <x:v>CHART_ACCOUNT</x:v>
      </x:c>
    </x:row>
    <x:row r="15">
      <x:c r="A15" s="32" t="n">
        <x:v>46022</x:v>
      </x:c>
      <x:c r="B15" s="30" t="str">
        <x:v>Equity</x:v>
      </x:c>
      <x:c r="C15" s="30" t="str">
        <x:v>EQUITY</x:v>
      </x:c>
      <x:c r="D15" s="30" t="str">
        <x:v>  Draws</x:v>
      </x:c>
      <x:c r="E15" s="30" t="str">
        <x:v>ACCOUNT</x:v>
      </x:c>
      <x:c r="F15" s="30" t="str">
        <x:v>chart:ca-owner-draws</x:v>
      </x:c>
      <x:c r="G15" s="31" t="n">
        <x:v>-120000</x:v>
      </x:c>
      <x:c r="H15" s="34" t="n">
        <x:v>-1200</x:v>
      </x:c>
      <x:c r="I15" s="30" t="str">
        <x:v>CHART_ACCOUNT</x:v>
      </x:c>
    </x:row>
    <x:row r="16">
      <x:c r="A16" s="32" t="n">
        <x:v>46022</x:v>
      </x:c>
      <x:c r="B16" s="30" t="str">
        <x:v>Equity</x:v>
      </x:c>
      <x:c r="C16" s="30" t="str">
        <x:v>EQUITY</x:v>
      </x:c>
      <x:c r="D16" s="30" t="str">
        <x:v>Total for Owner equity</x:v>
      </x:c>
      <x:c r="E16" s="30" t="str">
        <x:v>SUBTOTAL</x:v>
      </x:c>
      <x:c r="F16" s="30" t="str">
        <x:v>subtotal:ca-owner-equity-parent</x:v>
      </x:c>
      <x:c r="G16" s="31" t="n">
        <x:v>280000</x:v>
      </x:c>
      <x:c r="H16" s="34" t="n">
        <x:v>2800</x:v>
      </x:c>
      <x:c r="I16" s="30" t="str">
        <x:v>SYNTHETIC</x:v>
      </x:c>
    </x:row>
    <x:row r="17">
      <x:c r="A17" s="32" t="n">
        <x:v>46022</x:v>
      </x:c>
      <x:c r="B17" s="30" t="str">
        <x:v>Equity</x:v>
      </x:c>
      <x:c r="C17" s="30" t="str">
        <x:v>Derived equity</x:v>
      </x:c>
      <x:c r="D17" s="30" t="str">
        <x:v>Opening Balance Equity</x:v>
      </x:c>
      <x:c r="E17" s="30" t="str">
        <x:v>DERIVED</x:v>
      </x:c>
      <x:c r="F17" s="30" t="str">
        <x:v>opening-equity:2025-12-31</x:v>
      </x:c>
      <x:c r="G17" s="31" t="n">
        <x:v>1992500</x:v>
      </x:c>
      <x:c r="H17" s="34" t="n">
        <x:v>19925</x:v>
      </x:c>
      <x:c r="I17" s="30" t="str">
        <x:v>DERIVED_EQUITY</x:v>
      </x:c>
    </x:row>
    <x:row r="18">
      <x:c r="A18" s="32" t="n">
        <x:v>46022</x:v>
      </x:c>
      <x:c r="B18" s="30" t="str">
        <x:v>Equity</x:v>
      </x:c>
      <x:c r="C18" s="30" t="str">
        <x:v>Derived equity</x:v>
      </x:c>
      <x:c r="D18" s="30" t="str">
        <x:v>Current Earnings</x:v>
      </x:c>
      <x:c r="E18" s="30" t="str">
        <x:v>DERIVED</x:v>
      </x:c>
      <x:c r="F18" s="30" t="str">
        <x:v>current-earnings:2025-12-31</x:v>
      </x:c>
      <x:c r="G18" s="31" t="n">
        <x:v>7517560</x:v>
      </x:c>
      <x:c r="H18" s="34" t="n">
        <x:v>75175.6</x:v>
      </x:c>
      <x:c r="I18" s="30" t="str">
        <x:v>DERIVED_EQUITY</x:v>
      </x:c>
    </x:row>
    <x:row r="19">
      <x:c r="A19" s="32" t="n">
        <x:v>46022</x:v>
      </x:c>
      <x:c r="B19" s="30" t="str">
        <x:v>Assets</x:v>
      </x:c>
      <x:c r="C19" s="30" t="str"/>
      <x:c r="D19" s="30" t="str">
        <x:v>Total Assets</x:v>
      </x:c>
      <x:c r="E19" s="30" t="str">
        <x:v>TOTAL</x:v>
      </x:c>
      <x:c r="F19" s="30" t="str">
        <x:v>total-assets:2025-12-31</x:v>
      </x:c>
      <x:c r="G19" s="31" t="n">
        <x:v>10630060</x:v>
      </x:c>
      <x:c r="H19" s="34" t="n">
        <x:v>106300.6</x:v>
      </x:c>
      <x:c r="I19" s="30" t="str">
        <x:v>SYNTHETIC</x:v>
      </x:c>
    </x:row>
    <x:row r="20">
      <x:c r="A20" s="32" t="n">
        <x:v>46022</x:v>
      </x:c>
      <x:c r="B20" s="30" t="str">
        <x:v>Liabilities</x:v>
      </x:c>
      <x:c r="C20" s="30" t="str"/>
      <x:c r="D20" s="30" t="str">
        <x:v>Total Liabilities</x:v>
      </x:c>
      <x:c r="E20" s="30" t="str">
        <x:v>TOTAL</x:v>
      </x:c>
      <x:c r="F20" s="30" t="str">
        <x:v>total-liabilities:2025-12-31</x:v>
      </x:c>
      <x:c r="G20" s="31" t="n">
        <x:v>840000</x:v>
      </x:c>
      <x:c r="H20" s="34" t="n">
        <x:v>8400</x:v>
      </x:c>
      <x:c r="I20" s="30" t="str">
        <x:v>SYNTHETIC</x:v>
      </x:c>
    </x:row>
    <x:row r="21">
      <x:c r="A21" s="32" t="n">
        <x:v>46022</x:v>
      </x:c>
      <x:c r="B21" s="30" t="str">
        <x:v>Equity</x:v>
      </x:c>
      <x:c r="C21" s="30" t="str"/>
      <x:c r="D21" s="30" t="str">
        <x:v>Total Equity</x:v>
      </x:c>
      <x:c r="E21" s="30" t="str">
        <x:v>TOTAL</x:v>
      </x:c>
      <x:c r="F21" s="30" t="str">
        <x:v>total-equity:2025-12-31</x:v>
      </x:c>
      <x:c r="G21" s="31" t="n">
        <x:v>9790060</x:v>
      </x:c>
      <x:c r="H21" s="34" t="n">
        <x:v>97900.6</x:v>
      </x:c>
      <x:c r="I21" s="30" t="str">
        <x:v>SYNTHETIC</x:v>
      </x:c>
    </x:row>
    <x:row r="22">
      <x:c r="A22" s="32" t="n">
        <x:v>46022</x:v>
      </x:c>
      <x:c r="B22" s="30" t="str">
        <x:v>Liabilities and Equity</x:v>
      </x:c>
      <x:c r="C22" s="30" t="str"/>
      <x:c r="D22" s="30" t="str">
        <x:v>Total Liabilities and Equity</x:v>
      </x:c>
      <x:c r="E22" s="30" t="str">
        <x:v>TOTAL</x:v>
      </x:c>
      <x:c r="F22" s="30" t="str">
        <x:v>total-liabilities-equity:2025-12-31</x:v>
      </x:c>
      <x:c r="G22" s="31" t="n">
        <x:v>10630060</x:v>
      </x:c>
      <x:c r="H22" s="34" t="n">
        <x:v>106300.6</x:v>
      </x:c>
      <x:c r="I22" s="30" t="str">
        <x:v>SYNTHETIC</x:v>
      </x:c>
    </x:row>
    <x:row r="23">
      <x:c r="A23" s="32" t="n">
        <x:v>46022</x:v>
      </x:c>
      <x:c r="B23" s="30" t="str">
        <x:v>Check</x:v>
      </x:c>
      <x:c r="C23" s="30" t="str"/>
      <x:c r="D23" s="30" t="str">
        <x:v>Difference</x:v>
      </x:c>
      <x:c r="E23" s="30" t="str">
        <x:v>DIFFERENCE</x:v>
      </x:c>
      <x:c r="F23" s="30" t="str">
        <x:v>difference:2025-12-31</x:v>
      </x:c>
      <x:c r="G23" s="31" t="n">
        <x:v>0</x:v>
      </x:c>
      <x:c r="H23" s="34" t="n">
        <x:v>0</x:v>
      </x:c>
      <x:c r="I23" s="30" t="str">
        <x:v>SYNTHETIC</x:v>
      </x:c>
    </x:row>
    <x:row r="24">
      <x:c r="A24" s="32" t="n">
        <x:v>46265</x:v>
      </x:c>
      <x:c r="B24" s="30" t="str">
        <x:v>Liability</x:v>
      </x:c>
      <x:c r="C24" s="30" t="str">
        <x:v>CREDIT_CARD</x:v>
      </x:c>
      <x:c r="D24" s="30" t="str">
        <x:v>Business rewards card</x:v>
      </x:c>
      <x:c r="E24" s="30" t="str">
        <x:v>ACCOUNT</x:v>
      </x:c>
      <x:c r="F24" s="30" t="str">
        <x:v>financial:fin-card</x:v>
      </x:c>
      <x:c r="G24" s="31" t="n">
        <x:v>140000</x:v>
      </x:c>
      <x:c r="H24" s="34" t="n">
        <x:v>1400</x:v>
      </x:c>
      <x:c r="I24" s="30" t="str">
        <x:v>FINANCIAL_SOURCE</x:v>
      </x:c>
    </x:row>
    <x:row r="25">
      <x:c r="A25" s="32" t="n">
        <x:v>46265</x:v>
      </x:c>
      <x:c r="B25" s="30" t="str">
        <x:v>Asset</x:v>
      </x:c>
      <x:c r="C25" s="30" t="str">
        <x:v>BANK</x:v>
      </x:c>
      <x:c r="D25" s="30" t="str">
        <x:v>Business savings (archived)</x:v>
      </x:c>
      <x:c r="E25" s="30" t="str">
        <x:v>ACCOUNT</x:v>
      </x:c>
      <x:c r="F25" s="30" t="str">
        <x:v>financial:fin-bank-savings</x:v>
      </x:c>
      <x:c r="G25" s="31" t="n">
        <x:v>504500</x:v>
      </x:c>
      <x:c r="H25" s="34" t="n">
        <x:v>5045</x:v>
      </x:c>
      <x:c r="I25" s="30" t="str">
        <x:v>FINANCIAL_SOURCE</x:v>
      </x:c>
    </x:row>
    <x:row r="26">
      <x:c r="A26" s="32" t="n">
        <x:v>46265</x:v>
      </x:c>
      <x:c r="B26" s="30" t="str">
        <x:v>Asset</x:v>
      </x:c>
      <x:c r="C26" s="30" t="str">
        <x:v>OTHER_CURRENT_ASSET</x:v>
      </x:c>
      <x:c r="D26" s="30" t="str">
        <x:v>Inventory tracking</x:v>
      </x:c>
      <x:c r="E26" s="30" t="str">
        <x:v>ACCOUNT</x:v>
      </x:c>
      <x:c r="F26" s="30" t="str">
        <x:v>financial:fin-inventory</x:v>
      </x:c>
      <x:c r="G26" s="31" t="n">
        <x:v>1250000</x:v>
      </x:c>
      <x:c r="H26" s="34" t="n">
        <x:v>12500</x:v>
      </x:c>
      <x:c r="I26" s="30" t="str">
        <x:v>FINANCIAL_SOURCE</x:v>
      </x:c>
    </x:row>
    <x:row r="27">
      <x:c r="A27" s="32" t="n">
        <x:v>46265</x:v>
      </x:c>
      <x:c r="B27" s="30" t="str">
        <x:v>Asset</x:v>
      </x:c>
      <x:c r="C27" s="30" t="str">
        <x:v>Unclassified accounts</x:v>
      </x:c>
      <x:c r="D27" s="30" t="str">
        <x:v>Legacy clearing (review required)</x:v>
      </x:c>
      <x:c r="E27" s="30" t="str">
        <x:v>ACCOUNT</x:v>
      </x:c>
      <x:c r="F27" s="30" t="str">
        <x:v>financial:fin-legacy-clearing</x:v>
      </x:c>
      <x:c r="G27" s="31" t="n">
        <x:v>12500</x:v>
      </x:c>
      <x:c r="H27" s="34" t="n">
        <x:v>125</x:v>
      </x:c>
      <x:c r="I27" s="30" t="str">
        <x:v>FINANCIAL_SOURCE</x:v>
      </x:c>
    </x:row>
    <x:row r="28">
      <x:c r="A28" s="32" t="n">
        <x:v>46265</x:v>
      </x:c>
      <x:c r="B28" s="30" t="str">
        <x:v>Asset</x:v>
      </x:c>
      <x:c r="C28" s="30" t="str">
        <x:v>BANK</x:v>
      </x:c>
      <x:c r="D28" s="30" t="str">
        <x:v>Operating checking</x:v>
      </x:c>
      <x:c r="E28" s="30" t="str">
        <x:v>ACCOUNT</x:v>
      </x:c>
      <x:c r="F28" s="30" t="str">
        <x:v>financial:fin-bank-operating</x:v>
      </x:c>
      <x:c r="G28" s="31" t="n">
        <x:v>12522840</x:v>
      </x:c>
      <x:c r="H28" s="34" t="n">
        <x:v>125228.4</x:v>
      </x:c>
      <x:c r="I28" s="30" t="str">
        <x:v>FINANCIAL_SOURCE</x:v>
      </x:c>
    </x:row>
    <x:row r="29">
      <x:c r="A29" s="32" t="n">
        <x:v>46265</x:v>
      </x:c>
      <x:c r="B29" s="30" t="str">
        <x:v>Asset</x:v>
      </x:c>
      <x:c r="C29" s="30" t="str">
        <x:v>OTHER_CURRENT_ASSET</x:v>
      </x:c>
      <x:c r="D29" s="30" t="str">
        <x:v>Prepaid expenses</x:v>
      </x:c>
      <x:c r="E29" s="30" t="str">
        <x:v>ACCOUNT</x:v>
      </x:c>
      <x:c r="F29" s="30" t="str">
        <x:v>chart:ca-prepaid-parent</x:v>
      </x:c>
      <x:c r="G29" s="31" t="n">
        <x:v>0</x:v>
      </x:c>
      <x:c r="H29" s="34" t="n">
        <x:v>0</x:v>
      </x:c>
      <x:c r="I29" s="30" t="str">
        <x:v>CHART_ACCOUNT</x:v>
      </x:c>
    </x:row>
    <x:row r="30">
      <x:c r="A30" s="32" t="n">
        <x:v>46265</x:v>
      </x:c>
      <x:c r="B30" s="30" t="str">
        <x:v>Asset</x:v>
      </x:c>
      <x:c r="C30" s="30" t="str">
        <x:v>OTHER_CURRENT_ASSET</x:v>
      </x:c>
      <x:c r="D30" s="30" t="str">
        <x:v>  Prepaid insurance</x:v>
      </x:c>
      <x:c r="E30" s="30" t="str">
        <x:v>ACCOUNT</x:v>
      </x:c>
      <x:c r="F30" s="30" t="str">
        <x:v>chart:ca-prepaid-insurance</x:v>
      </x:c>
      <x:c r="G30" s="31" t="n">
        <x:v>120000</x:v>
      </x:c>
      <x:c r="H30" s="34" t="n">
        <x:v>1200</x:v>
      </x:c>
      <x:c r="I30" s="30" t="str">
        <x:v>CHART_ACCOUNT</x:v>
      </x:c>
    </x:row>
    <x:row r="31">
      <x:c r="A31" s="32" t="n">
        <x:v>46265</x:v>
      </x:c>
      <x:c r="B31" s="30" t="str">
        <x:v>Asset</x:v>
      </x:c>
      <x:c r="C31" s="30" t="str">
        <x:v>OTHER_CURRENT_ASSET</x:v>
      </x:c>
      <x:c r="D31" s="30" t="str">
        <x:v>Total for Prepaid expenses</x:v>
      </x:c>
      <x:c r="E31" s="30" t="str">
        <x:v>SUBTOTAL</x:v>
      </x:c>
      <x:c r="F31" s="30" t="str">
        <x:v>subtotal:ca-prepaid-parent</x:v>
      </x:c>
      <x:c r="G31" s="31" t="n">
        <x:v>120000</x:v>
      </x:c>
      <x:c r="H31" s="34" t="n">
        <x:v>1200</x:v>
      </x:c>
      <x:c r="I31" s="30" t="str">
        <x:v>SYNTHETIC</x:v>
      </x:c>
    </x:row>
    <x:row r="32">
      <x:c r="A32" s="32" t="n">
        <x:v>46265</x:v>
      </x:c>
      <x:c r="B32" s="30" t="str">
        <x:v>Asset</x:v>
      </x:c>
      <x:c r="C32" s="30" t="str">
        <x:v>FIXED_ASSET</x:v>
      </x:c>
      <x:c r="D32" s="30" t="str">
        <x:v>Equipment</x:v>
      </x:c>
      <x:c r="E32" s="30" t="str">
        <x:v>ACCOUNT</x:v>
      </x:c>
      <x:c r="F32" s="30" t="str">
        <x:v>chart:ca-equipment-parent</x:v>
      </x:c>
      <x:c r="G32" s="31" t="n">
        <x:v>240000</x:v>
      </x:c>
      <x:c r="H32" s="34" t="n">
        <x:v>2400</x:v>
      </x:c>
      <x:c r="I32" s="30" t="str">
        <x:v>CHART_ACCOUNT</x:v>
      </x:c>
    </x:row>
    <x:row r="33">
      <x:c r="A33" s="32" t="n">
        <x:v>46265</x:v>
      </x:c>
      <x:c r="B33" s="30" t="str">
        <x:v>Asset</x:v>
      </x:c>
      <x:c r="C33" s="30" t="str">
        <x:v>FIXED_ASSET</x:v>
      </x:c>
      <x:c r="D33" s="30" t="str">
        <x:v>  Computers</x:v>
      </x:c>
      <x:c r="E33" s="30" t="str">
        <x:v>ACCOUNT</x:v>
      </x:c>
      <x:c r="F33" s="30" t="str">
        <x:v>chart:ca-equipment-computers</x:v>
      </x:c>
      <x:c r="G33" s="31" t="n">
        <x:v>180000</x:v>
      </x:c>
      <x:c r="H33" s="34" t="n">
        <x:v>1800</x:v>
      </x:c>
      <x:c r="I33" s="30" t="str">
        <x:v>CHART_ACCOUNT</x:v>
      </x:c>
    </x:row>
    <x:row r="34">
      <x:c r="A34" s="32" t="n">
        <x:v>46265</x:v>
      </x:c>
      <x:c r="B34" s="30" t="str">
        <x:v>Asset</x:v>
      </x:c>
      <x:c r="C34" s="30" t="str">
        <x:v>FIXED_ASSET</x:v>
      </x:c>
      <x:c r="D34" s="30" t="str">
        <x:v>Total for Equipment</x:v>
      </x:c>
      <x:c r="E34" s="30" t="str">
        <x:v>SUBTOTAL</x:v>
      </x:c>
      <x:c r="F34" s="30" t="str">
        <x:v>subtotal:ca-equipment-parent</x:v>
      </x:c>
      <x:c r="G34" s="31" t="n">
        <x:v>420000</x:v>
      </x:c>
      <x:c r="H34" s="34" t="n">
        <x:v>4200</x:v>
      </x:c>
      <x:c r="I34" s="30" t="str">
        <x:v>SYNTHETIC</x:v>
      </x:c>
    </x:row>
    <x:row r="35">
      <x:c r="A35" s="32" t="n">
        <x:v>46265</x:v>
      </x:c>
      <x:c r="B35" s="30" t="str">
        <x:v>Liability</x:v>
      </x:c>
      <x:c r="C35" s="30" t="str">
        <x:v>LONG_TERM_LIABILITY</x:v>
      </x:c>
      <x:c r="D35" s="30" t="str">
        <x:v>Term loan payable</x:v>
      </x:c>
      <x:c r="E35" s="30" t="str">
        <x:v>ACCOUNT</x:v>
      </x:c>
      <x:c r="F35" s="30" t="str">
        <x:v>chart:ca-long-term-loan</x:v>
      </x:c>
      <x:c r="G35" s="31" t="n">
        <x:v>660000</x:v>
      </x:c>
      <x:c r="H35" s="34" t="n">
        <x:v>6600</x:v>
      </x:c>
      <x:c r="I35" s="30" t="str">
        <x:v>CHART_ACCOUNT</x:v>
      </x:c>
    </x:row>
    <x:row r="36">
      <x:c r="A36" s="32" t="n">
        <x:v>46265</x:v>
      </x:c>
      <x:c r="B36" s="30" t="str">
        <x:v>Liability</x:v>
      </x:c>
      <x:c r="C36" s="30" t="str">
        <x:v>OTHER_CURRENT_LIABILITY</x:v>
      </x:c>
      <x:c r="D36" s="30" t="str">
        <x:v>Short-term loan payable</x:v>
      </x:c>
      <x:c r="E36" s="30" t="str">
        <x:v>ACCOUNT</x:v>
      </x:c>
      <x:c r="F36" s="30" t="str">
        <x:v>chart:ca-short-term-loan</x:v>
      </x:c>
      <x:c r="G36" s="31" t="n">
        <x:v>250000</x:v>
      </x:c>
      <x:c r="H36" s="34" t="n">
        <x:v>2500</x:v>
      </x:c>
      <x:c r="I36" s="30" t="str">
        <x:v>CHART_ACCOUNT</x:v>
      </x:c>
    </x:row>
    <x:row r="37">
      <x:c r="A37" s="32" t="n">
        <x:v>46265</x:v>
      </x:c>
      <x:c r="B37" s="30" t="str">
        <x:v>Equity</x:v>
      </x:c>
      <x:c r="C37" s="30" t="str">
        <x:v>EQUITY</x:v>
      </x:c>
      <x:c r="D37" s="30" t="str">
        <x:v>Owner equity</x:v>
      </x:c>
      <x:c r="E37" s="30" t="str">
        <x:v>ACCOUNT</x:v>
      </x:c>
      <x:c r="F37" s="30" t="str">
        <x:v>chart:ca-owner-equity-parent</x:v>
      </x:c>
      <x:c r="G37" s="31" t="n">
        <x:v>0</x:v>
      </x:c>
      <x:c r="H37" s="34" t="n">
        <x:v>0</x:v>
      </x:c>
      <x:c r="I37" s="30" t="str">
        <x:v>CHART_ACCOUNT</x:v>
      </x:c>
    </x:row>
    <x:row r="38">
      <x:c r="A38" s="32" t="n">
        <x:v>46265</x:v>
      </x:c>
      <x:c r="B38" s="30" t="str">
        <x:v>Equity</x:v>
      </x:c>
      <x:c r="C38" s="30" t="str">
        <x:v>EQUITY</x:v>
      </x:c>
      <x:c r="D38" s="30" t="str">
        <x:v>  Contributions</x:v>
      </x:c>
      <x:c r="E38" s="30" t="str">
        <x:v>ACCOUNT</x:v>
      </x:c>
      <x:c r="F38" s="30" t="str">
        <x:v>chart:ca-owner-contributions</x:v>
      </x:c>
      <x:c r="G38" s="31" t="n">
        <x:v>600000</x:v>
      </x:c>
      <x:c r="H38" s="34" t="n">
        <x:v>6000</x:v>
      </x:c>
      <x:c r="I38" s="30" t="str">
        <x:v>CHART_ACCOUNT</x:v>
      </x:c>
    </x:row>
    <x:row r="39">
      <x:c r="A39" s="32" t="n">
        <x:v>46265</x:v>
      </x:c>
      <x:c r="B39" s="30" t="str">
        <x:v>Equity</x:v>
      </x:c>
      <x:c r="C39" s="30" t="str">
        <x:v>EQUITY</x:v>
      </x:c>
      <x:c r="D39" s="30" t="str">
        <x:v>  Draws</x:v>
      </x:c>
      <x:c r="E39" s="30" t="str">
        <x:v>ACCOUNT</x:v>
      </x:c>
      <x:c r="F39" s="30" t="str">
        <x:v>chart:ca-owner-draws</x:v>
      </x:c>
      <x:c r="G39" s="31" t="n">
        <x:v>-200000</x:v>
      </x:c>
      <x:c r="H39" s="34" t="n">
        <x:v>-2000</x:v>
      </x:c>
      <x:c r="I39" s="30" t="str">
        <x:v>CHART_ACCOUNT</x:v>
      </x:c>
    </x:row>
    <x:row r="40">
      <x:c r="A40" s="32" t="n">
        <x:v>46265</x:v>
      </x:c>
      <x:c r="B40" s="30" t="str">
        <x:v>Equity</x:v>
      </x:c>
      <x:c r="C40" s="30" t="str">
        <x:v>EQUITY</x:v>
      </x:c>
      <x:c r="D40" s="30" t="str">
        <x:v>Total for Owner equity</x:v>
      </x:c>
      <x:c r="E40" s="30" t="str">
        <x:v>SUBTOTAL</x:v>
      </x:c>
      <x:c r="F40" s="30" t="str">
        <x:v>subtotal:ca-owner-equity-parent</x:v>
      </x:c>
      <x:c r="G40" s="31" t="n">
        <x:v>400000</x:v>
      </x:c>
      <x:c r="H40" s="34" t="n">
        <x:v>4000</x:v>
      </x:c>
      <x:c r="I40" s="30" t="str">
        <x:v>SYNTHETIC</x:v>
      </x:c>
    </x:row>
    <x:row r="41">
      <x:c r="A41" s="32" t="n">
        <x:v>46265</x:v>
      </x:c>
      <x:c r="B41" s="30" t="str">
        <x:v>Equity</x:v>
      </x:c>
      <x:c r="C41" s="30" t="str">
        <x:v>Derived equity</x:v>
      </x:c>
      <x:c r="D41" s="30" t="str">
        <x:v>Opening Balance Equity</x:v>
      </x:c>
      <x:c r="E41" s="30" t="str">
        <x:v>DERIVED</x:v>
      </x:c>
      <x:c r="F41" s="30" t="str">
        <x:v>opening-equity:2026-08-31</x:v>
      </x:c>
      <x:c r="G41" s="31" t="n">
        <x:v>1992500</x:v>
      </x:c>
      <x:c r="H41" s="34" t="n">
        <x:v>19925</x:v>
      </x:c>
      <x:c r="I41" s="30" t="str">
        <x:v>DERIVED_EQUITY</x:v>
      </x:c>
    </x:row>
    <x:row r="42">
      <x:c r="A42" s="32" t="n">
        <x:v>46265</x:v>
      </x:c>
      <x:c r="B42" s="30" t="str">
        <x:v>Equity</x:v>
      </x:c>
      <x:c r="C42" s="30" t="str">
        <x:v>Derived equity</x:v>
      </x:c>
      <x:c r="D42" s="30" t="str">
        <x:v>Retained Earnings</x:v>
      </x:c>
      <x:c r="E42" s="30" t="str">
        <x:v>DERIVED</x:v>
      </x:c>
      <x:c r="F42" s="30" t="str">
        <x:v>retained-earnings:2026-08-31</x:v>
      </x:c>
      <x:c r="G42" s="31" t="n">
        <x:v>7517560</x:v>
      </x:c>
      <x:c r="H42" s="34" t="n">
        <x:v>75175.6</x:v>
      </x:c>
      <x:c r="I42" s="30" t="str">
        <x:v>DERIVED_EQUITY</x:v>
      </x:c>
    </x:row>
    <x:row r="43">
      <x:c r="A43" s="32" t="n">
        <x:v>46265</x:v>
      </x:c>
      <x:c r="B43" s="30" t="str">
        <x:v>Equity</x:v>
      </x:c>
      <x:c r="C43" s="30" t="str">
        <x:v>Derived equity</x:v>
      </x:c>
      <x:c r="D43" s="30" t="str">
        <x:v>Current Earnings</x:v>
      </x:c>
      <x:c r="E43" s="30" t="str">
        <x:v>DERIVED</x:v>
      </x:c>
      <x:c r="F43" s="30" t="str">
        <x:v>current-earnings:2026-08-31</x:v>
      </x:c>
      <x:c r="G43" s="31" t="n">
        <x:v>3869780</x:v>
      </x:c>
      <x:c r="H43" s="34" t="n">
        <x:v>38697.8</x:v>
      </x:c>
      <x:c r="I43" s="30" t="str">
        <x:v>DERIVED_EQUITY</x:v>
      </x:c>
    </x:row>
    <x:row r="44">
      <x:c r="A44" s="32" t="n">
        <x:v>46265</x:v>
      </x:c>
      <x:c r="B44" s="30" t="str">
        <x:v>Assets</x:v>
      </x:c>
      <x:c r="C44" s="30" t="str"/>
      <x:c r="D44" s="30" t="str">
        <x:v>Total Assets</x:v>
      </x:c>
      <x:c r="E44" s="30" t="str">
        <x:v>TOTAL</x:v>
      </x:c>
      <x:c r="F44" s="30" t="str">
        <x:v>total-assets:2026-08-31</x:v>
      </x:c>
      <x:c r="G44" s="31" t="n">
        <x:v>14829840</x:v>
      </x:c>
      <x:c r="H44" s="34" t="n">
        <x:v>148298.4</x:v>
      </x:c>
      <x:c r="I44" s="30" t="str">
        <x:v>SYNTHETIC</x:v>
      </x:c>
    </x:row>
    <x:row r="45">
      <x:c r="A45" s="32" t="n">
        <x:v>46265</x:v>
      </x:c>
      <x:c r="B45" s="30" t="str">
        <x:v>Liabilities</x:v>
      </x:c>
      <x:c r="C45" s="30" t="str"/>
      <x:c r="D45" s="30" t="str">
        <x:v>Total Liabilities</x:v>
      </x:c>
      <x:c r="E45" s="30" t="str">
        <x:v>TOTAL</x:v>
      </x:c>
      <x:c r="F45" s="30" t="str">
        <x:v>total-liabilities:2026-08-31</x:v>
      </x:c>
      <x:c r="G45" s="31" t="n">
        <x:v>1050000</x:v>
      </x:c>
      <x:c r="H45" s="34" t="n">
        <x:v>10500</x:v>
      </x:c>
      <x:c r="I45" s="30" t="str">
        <x:v>SYNTHETIC</x:v>
      </x:c>
    </x:row>
    <x:row r="46">
      <x:c r="A46" s="32" t="n">
        <x:v>46265</x:v>
      </x:c>
      <x:c r="B46" s="30" t="str">
        <x:v>Equity</x:v>
      </x:c>
      <x:c r="C46" s="30" t="str"/>
      <x:c r="D46" s="30" t="str">
        <x:v>Total Equity</x:v>
      </x:c>
      <x:c r="E46" s="30" t="str">
        <x:v>TOTAL</x:v>
      </x:c>
      <x:c r="F46" s="30" t="str">
        <x:v>total-equity:2026-08-31</x:v>
      </x:c>
      <x:c r="G46" s="31" t="n">
        <x:v>13779840</x:v>
      </x:c>
      <x:c r="H46" s="34" t="n">
        <x:v>137798.4</x:v>
      </x:c>
      <x:c r="I46" s="30" t="str">
        <x:v>SYNTHETIC</x:v>
      </x:c>
    </x:row>
    <x:row r="47">
      <x:c r="A47" s="32" t="n">
        <x:v>46265</x:v>
      </x:c>
      <x:c r="B47" s="30" t="str">
        <x:v>Liabilities and Equity</x:v>
      </x:c>
      <x:c r="C47" s="30" t="str"/>
      <x:c r="D47" s="30" t="str">
        <x:v>Total Liabilities and Equity</x:v>
      </x:c>
      <x:c r="E47" s="30" t="str">
        <x:v>TOTAL</x:v>
      </x:c>
      <x:c r="F47" s="30" t="str">
        <x:v>total-liabilities-equity:2026-08-31</x:v>
      </x:c>
      <x:c r="G47" s="31" t="n">
        <x:v>14829840</x:v>
      </x:c>
      <x:c r="H47" s="34" t="n">
        <x:v>148298.4</x:v>
      </x:c>
      <x:c r="I47" s="30" t="str">
        <x:v>SYNTHETIC</x:v>
      </x:c>
    </x:row>
    <x:row r="48">
      <x:c r="A48" s="32" t="n">
        <x:v>46265</x:v>
      </x:c>
      <x:c r="B48" s="30" t="str">
        <x:v>Check</x:v>
      </x:c>
      <x:c r="C48" s="30" t="str"/>
      <x:c r="D48" s="30" t="str">
        <x:v>Difference</x:v>
      </x:c>
      <x:c r="E48" s="30" t="str">
        <x:v>DIFFERENCE</x:v>
      </x:c>
      <x:c r="F48" s="30" t="str">
        <x:v>difference:2026-08-31</x:v>
      </x:c>
      <x:c r="G48" s="31" t="n">
        <x:v>0</x:v>
      </x:c>
      <x:c r="H48" s="34" t="n">
        <x:v>0</x:v>
      </x:c>
      <x:c r="I48" s="30" t="str">
        <x:v>SYNTHETIC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1.5600004196167" hidden="0" customWidth="1"/>
    <x:col min="4" max="4" width="38" hidden="0" customWidth="1"/>
    <x:col min="5" max="5" width="10.109999656677246" hidden="0" customWidth="1"/>
    <x:col min="6" max="6" width="17.889999389648438" hidden="0" customWidth="1"/>
    <x:col min="7" max="7" width="18" hidden="0" customWidth="1"/>
    <x:col min="8" max="8" width="16" hidden="0" customWidth="1"/>
  </x:cols>
  <x:sheetData>
    <x:row r="1" ht="32" customHeight="1">
      <x:c r="A1" s="29" t="str">
        <x:v>Period Start</x:v>
      </x:c>
      <x:c r="B1" s="29" t="str">
        <x:v>Period End</x:v>
      </x:c>
      <x:c r="C1" s="29" t="str">
        <x:v>Section</x:v>
      </x:c>
      <x:c r="D1" s="29" t="str">
        <x:v>Label</x:v>
      </x:c>
      <x:c r="E1" s="29" t="str">
        <x:v>Row Kind</x:v>
      </x:c>
      <x:c r="F1" s="29" t="str">
        <x:v>Chart Account ID</x:v>
      </x:c>
      <x:c r="G1" s="29" t="str">
        <x:v>Amount Minor</x:v>
      </x:c>
      <x:c r="H1" s="29" t="str">
        <x:v>Amount</x:v>
      </x:c>
    </x:row>
    <x:row r="2">
      <x:c r="A2" s="32" t="n">
        <x:v>45658</x:v>
      </x:c>
      <x:c r="B2" s="32" t="n">
        <x:v>46022</x:v>
      </x:c>
      <x:c r="C2" s="30" t="str">
        <x:v>Income</x:v>
      </x:c>
      <x:c r="D2" s="30" t="str">
        <x:v>Online product sales</x:v>
      </x:c>
      <x:c r="E2" s="30" t="str">
        <x:v>ACCOUNT</x:v>
      </x:c>
      <x:c r="F2" s="30" t="str">
        <x:v>ca-online-sales</x:v>
      </x:c>
      <x:c r="G2" s="31" t="n">
        <x:v>14710000</x:v>
      </x:c>
      <x:c r="H2" s="34" t="str">
        <x:v>147100.00</x:v>
      </x:c>
    </x:row>
    <x:row r="3">
      <x:c r="A3" s="32" t="n">
        <x:v>45658</x:v>
      </x:c>
      <x:c r="B3" s="32" t="n">
        <x:v>46022</x:v>
      </x:c>
      <x:c r="C3" s="30" t="str">
        <x:v>Income</x:v>
      </x:c>
      <x:c r="D3" s="30" t="str">
        <x:v>Sales returns and refunds</x:v>
      </x:c>
      <x:c r="E3" s="30" t="str">
        <x:v>ACCOUNT</x:v>
      </x:c>
      <x:c r="F3" s="30" t="str">
        <x:v>ca-sales-returns</x:v>
      </x:c>
      <x:c r="G3" s="31" t="n">
        <x:v>-789650</x:v>
      </x:c>
      <x:c r="H3" s="34" t="str">
        <x:v>-7896.50</x:v>
      </x:c>
    </x:row>
    <x:row r="4">
      <x:c r="A4" s="32" t="n">
        <x:v>45658</x:v>
      </x:c>
      <x:c r="B4" s="32" t="n">
        <x:v>46022</x:v>
      </x:c>
      <x:c r="C4" s="30" t="str">
        <x:v>Income</x:v>
      </x:c>
      <x:c r="D4" s="30" t="str">
        <x:v>Shipping income</x:v>
      </x:c>
      <x:c r="E4" s="30" t="str">
        <x:v>ACCOUNT</x:v>
      </x:c>
      <x:c r="F4" s="30" t="str">
        <x:v>ca-shipping-income</x:v>
      </x:c>
      <x:c r="G4" s="31" t="n">
        <x:v>161810</x:v>
      </x:c>
      <x:c r="H4" s="34" t="str">
        <x:v>1618.10</x:v>
      </x:c>
    </x:row>
    <x:row r="5">
      <x:c r="A5" s="32" t="n">
        <x:v>45658</x:v>
      </x:c>
      <x:c r="B5" s="32" t="n">
        <x:v>46022</x:v>
      </x:c>
      <x:c r="C5" s="30" t="str">
        <x:v>Income</x:v>
      </x:c>
      <x:c r="D5" s="30" t="str">
        <x:v>Total Income</x:v>
      </x:c>
      <x:c r="E5" s="30" t="str">
        <x:v>TOTAL</x:v>
      </x:c>
      <x:c r="F5" s="30" t="str">
        <x:v>total-income</x:v>
      </x:c>
      <x:c r="G5" s="31" t="n">
        <x:v>14082160</x:v>
      </x:c>
      <x:c r="H5" s="34" t="str">
        <x:v>140821.60</x:v>
      </x:c>
    </x:row>
    <x:row r="6">
      <x:c r="A6" s="32" t="n">
        <x:v>45658</x:v>
      </x:c>
      <x:c r="B6" s="32" t="n">
        <x:v>46022</x:v>
      </x:c>
      <x:c r="C6" s="30" t="str">
        <x:v>Cogs</x:v>
      </x:c>
      <x:c r="D6" s="30" t="str">
        <x:v>Product costs</x:v>
      </x:c>
      <x:c r="E6" s="30" t="str">
        <x:v>ACCOUNT</x:v>
      </x:c>
      <x:c r="F6" s="30" t="str">
        <x:v>ca-product-costs</x:v>
      </x:c>
      <x:c r="G6" s="31" t="n">
        <x:v>780000</x:v>
      </x:c>
      <x:c r="H6" s="34" t="str">
        <x:v>7800.00</x:v>
      </x:c>
    </x:row>
    <x:row r="7">
      <x:c r="A7" s="32" t="n">
        <x:v>45658</x:v>
      </x:c>
      <x:c r="B7" s="32" t="n">
        <x:v>46022</x:v>
      </x:c>
      <x:c r="C7" s="30" t="str">
        <x:v>Cogs</x:v>
      </x:c>
      <x:c r="D7" s="30" t="str">
        <x:v>Fulfillment fees</x:v>
      </x:c>
      <x:c r="E7" s="30" t="str">
        <x:v>ACCOUNT</x:v>
      </x:c>
      <x:c r="F7" s="30" t="str">
        <x:v>ca-fulfillment-fees</x:v>
      </x:c>
      <x:c r="G7" s="31" t="n">
        <x:v>3154800</x:v>
      </x:c>
      <x:c r="H7" s="34" t="str">
        <x:v>31548.00</x:v>
      </x:c>
    </x:row>
    <x:row r="8">
      <x:c r="A8" s="32" t="n">
        <x:v>45658</x:v>
      </x:c>
      <x:c r="B8" s="32" t="n">
        <x:v>46022</x:v>
      </x:c>
      <x:c r="C8" s="30" t="str">
        <x:v>Cogs</x:v>
      </x:c>
      <x:c r="D8" s="30" t="str">
        <x:v>Total Cogs</x:v>
      </x:c>
      <x:c r="E8" s="30" t="str">
        <x:v>TOTAL</x:v>
      </x:c>
      <x:c r="F8" s="30" t="str">
        <x:v>total-cogs</x:v>
      </x:c>
      <x:c r="G8" s="31" t="n">
        <x:v>3934800</x:v>
      </x:c>
      <x:c r="H8" s="34" t="str">
        <x:v>39348.00</x:v>
      </x:c>
    </x:row>
    <x:row r="9">
      <x:c r="A9" s="32" t="n">
        <x:v>45658</x:v>
      </x:c>
      <x:c r="B9" s="32" t="n">
        <x:v>46022</x:v>
      </x:c>
      <x:c r="C9" s="30" t="str">
        <x:v>Expense</x:v>
      </x:c>
      <x:c r="D9" s="30" t="str">
        <x:v>Marketplace fees</x:v>
      </x:c>
      <x:c r="E9" s="30" t="str">
        <x:v>ACCOUNT</x:v>
      </x:c>
      <x:c r="F9" s="30" t="str">
        <x:v>ca-platform-fees-parent</x:v>
      </x:c>
      <x:c r="G9" s="31" t="n">
        <x:v>7500</x:v>
      </x:c>
      <x:c r="H9" s="34" t="str">
        <x:v>75.00</x:v>
      </x:c>
    </x:row>
    <x:row r="10">
      <x:c r="A10" s="32" t="n">
        <x:v>45658</x:v>
      </x:c>
      <x:c r="B10" s="32" t="n">
        <x:v>46022</x:v>
      </x:c>
      <x:c r="C10" s="30" t="str">
        <x:v>Expense</x:v>
      </x:c>
      <x:c r="D10" s="30" t="str">
        <x:v>Marketplace fees:Commissions</x:v>
      </x:c>
      <x:c r="E10" s="30" t="str">
        <x:v>ACCOUNT</x:v>
      </x:c>
      <x:c r="F10" s="30" t="str">
        <x:v>ca-commission-fees</x:v>
      </x:c>
      <x:c r="G10" s="31" t="n">
        <x:v>2206500</x:v>
      </x:c>
      <x:c r="H10" s="34" t="str">
        <x:v>22065.00</x:v>
      </x:c>
    </x:row>
    <x:row r="11">
      <x:c r="A11" s="32" t="n">
        <x:v>45658</x:v>
      </x:c>
      <x:c r="B11" s="32" t="n">
        <x:v>46022</x:v>
      </x:c>
      <x:c r="C11" s="30" t="str">
        <x:v>Expense</x:v>
      </x:c>
      <x:c r="D11" s="30" t="str">
        <x:v>Marketplace fees:Storage</x:v>
      </x:c>
      <x:c r="E11" s="30" t="str">
        <x:v>ACCOUNT</x:v>
      </x:c>
      <x:c r="F11" s="30" t="str">
        <x:v>ca-storage-fees</x:v>
      </x:c>
      <x:c r="G11" s="31" t="n">
        <x:v>246300</x:v>
      </x:c>
      <x:c r="H11" s="34" t="str">
        <x:v>2463.00</x:v>
      </x:c>
    </x:row>
    <x:row r="12">
      <x:c r="A12" s="32" t="n">
        <x:v>45658</x:v>
      </x:c>
      <x:c r="B12" s="32" t="n">
        <x:v>46022</x:v>
      </x:c>
      <x:c r="C12" s="30" t="str">
        <x:v>Expense</x:v>
      </x:c>
      <x:c r="D12" s="30" t="str">
        <x:v>Advertising</x:v>
      </x:c>
      <x:c r="E12" s="30" t="str">
        <x:v>ACCOUNT</x:v>
      </x:c>
      <x:c r="F12" s="30" t="str">
        <x:v>ca-advertising</x:v>
      </x:c>
      <x:c r="G12" s="31" t="n">
        <x:v>70000</x:v>
      </x:c>
      <x:c r="H12" s="34" t="str">
        <x:v>700.00</x:v>
      </x:c>
    </x:row>
    <x:row r="13">
      <x:c r="A13" s="32" t="n">
        <x:v>45658</x:v>
      </x:c>
      <x:c r="B13" s="32" t="n">
        <x:v>46022</x:v>
      </x:c>
      <x:c r="C13" s="30" t="str">
        <x:v>Expense</x:v>
      </x:c>
      <x:c r="D13" s="30" t="str">
        <x:v>Insurance</x:v>
      </x:c>
      <x:c r="E13" s="30" t="str">
        <x:v>ACCOUNT</x:v>
      </x:c>
      <x:c r="F13" s="30" t="str">
        <x:v>ca-insurance</x:v>
      </x:c>
      <x:c r="G13" s="31" t="n">
        <x:v>60000</x:v>
      </x:c>
      <x:c r="H13" s="34" t="str">
        <x:v>600.00</x:v>
      </x:c>
    </x:row>
    <x:row r="14">
      <x:c r="A14" s="32" t="n">
        <x:v>45658</x:v>
      </x:c>
      <x:c r="B14" s="32" t="n">
        <x:v>46022</x:v>
      </x:c>
      <x:c r="C14" s="30" t="str">
        <x:v>Expense</x:v>
      </x:c>
      <x:c r="D14" s="30" t="str">
        <x:v>Software subscriptions</x:v>
      </x:c>
      <x:c r="E14" s="30" t="str">
        <x:v>ACCOUNT</x:v>
      </x:c>
      <x:c r="F14" s="30" t="str">
        <x:v>ca-software</x:v>
      </x:c>
      <x:c r="G14" s="31" t="n">
        <x:v>24000</x:v>
      </x:c>
      <x:c r="H14" s="34" t="str">
        <x:v>240.00</x:v>
      </x:c>
    </x:row>
    <x:row r="15">
      <x:c r="A15" s="32" t="n">
        <x:v>45658</x:v>
      </x:c>
      <x:c r="B15" s="32" t="n">
        <x:v>46022</x:v>
      </x:c>
      <x:c r="C15" s="30" t="str">
        <x:v>Expense</x:v>
      </x:c>
      <x:c r="D15" s="30" t="str">
        <x:v>Total Expense</x:v>
      </x:c>
      <x:c r="E15" s="30" t="str">
        <x:v>TOTAL</x:v>
      </x:c>
      <x:c r="F15" s="30" t="str">
        <x:v>total-expense</x:v>
      </x:c>
      <x:c r="G15" s="31" t="n">
        <x:v>2614300</x:v>
      </x:c>
      <x:c r="H15" s="34" t="str">
        <x:v>26143.00</x:v>
      </x:c>
    </x:row>
    <x:row r="16">
      <x:c r="A16" s="32" t="n">
        <x:v>45658</x:v>
      </x:c>
      <x:c r="B16" s="32" t="n">
        <x:v>46022</x:v>
      </x:c>
      <x:c r="C16" s="30" t="str">
        <x:v>Other_income</x:v>
      </x:c>
      <x:c r="D16" s="30" t="str">
        <x:v>Interest income</x:v>
      </x:c>
      <x:c r="E16" s="30" t="str">
        <x:v>ACCOUNT</x:v>
      </x:c>
      <x:c r="F16" s="30" t="str">
        <x:v>ca-interest-income</x:v>
      </x:c>
      <x:c r="G16" s="31" t="n">
        <x:v>4500</x:v>
      </x:c>
      <x:c r="H16" s="34" t="str">
        <x:v>45.00</x:v>
      </x:c>
    </x:row>
    <x:row r="17">
      <x:c r="A17" s="32" t="n">
        <x:v>45658</x:v>
      </x:c>
      <x:c r="B17" s="32" t="n">
        <x:v>46022</x:v>
      </x:c>
      <x:c r="C17" s="30" t="str">
        <x:v>Other_income</x:v>
      </x:c>
      <x:c r="D17" s="30" t="str">
        <x:v>Total Other_income</x:v>
      </x:c>
      <x:c r="E17" s="30" t="str">
        <x:v>TOTAL</x:v>
      </x:c>
      <x:c r="F17" s="30" t="str">
        <x:v>total-other_income</x:v>
      </x:c>
      <x:c r="G17" s="31" t="n">
        <x:v>4500</x:v>
      </x:c>
      <x:c r="H17" s="34" t="str">
        <x:v>45.00</x:v>
      </x:c>
    </x:row>
    <x:row r="18">
      <x:c r="A18" s="32" t="n">
        <x:v>45658</x:v>
      </x:c>
      <x:c r="B18" s="32" t="n">
        <x:v>46022</x:v>
      </x:c>
      <x:c r="C18" s="30" t="str">
        <x:v>Other_expense</x:v>
      </x:c>
      <x:c r="D18" s="30" t="str">
        <x:v>Interest expense</x:v>
      </x:c>
      <x:c r="E18" s="30" t="str">
        <x:v>ACCOUNT</x:v>
      </x:c>
      <x:c r="F18" s="30" t="str">
        <x:v>ca-interest-expense</x:v>
      </x:c>
      <x:c r="G18" s="31" t="n">
        <x:v>20000</x:v>
      </x:c>
      <x:c r="H18" s="34" t="str">
        <x:v>200.00</x:v>
      </x:c>
    </x:row>
    <x:row r="19">
      <x:c r="A19" s="32" t="n">
        <x:v>45658</x:v>
      </x:c>
      <x:c r="B19" s="32" t="n">
        <x:v>46022</x:v>
      </x:c>
      <x:c r="C19" s="30" t="str">
        <x:v>Other_expense</x:v>
      </x:c>
      <x:c r="D19" s="30" t="str">
        <x:v>Total Other_expense</x:v>
      </x:c>
      <x:c r="E19" s="30" t="str">
        <x:v>TOTAL</x:v>
      </x:c>
      <x:c r="F19" s="30" t="str">
        <x:v>total-other_expense</x:v>
      </x:c>
      <x:c r="G19" s="31" t="n">
        <x:v>20000</x:v>
      </x:c>
      <x:c r="H19" s="34" t="str">
        <x:v>200.00</x:v>
      </x:c>
    </x:row>
    <x:row r="20">
      <x:c r="A20" s="32" t="n">
        <x:v>45658</x:v>
      </x:c>
      <x:c r="B20" s="32" t="n">
        <x:v>46022</x:v>
      </x:c>
      <x:c r="C20" s="30" t="str">
        <x:v>Net Profit</x:v>
      </x:c>
      <x:c r="D20" s="30" t="str">
        <x:v>Net Profit</x:v>
      </x:c>
      <x:c r="E20" s="30" t="str">
        <x:v>NET_PROFIT</x:v>
      </x:c>
      <x:c r="F20" s="30" t="str">
        <x:v>net-profit</x:v>
      </x:c>
      <x:c r="G20" s="31" t="n">
        <x:v>7517560</x:v>
      </x:c>
      <x:c r="H20" s="34" t="str">
        <x:v>75175.60</x:v>
      </x:c>
    </x:row>
    <x:row r="21">
      <x:c r="A21" s="32" t="n">
        <x:v>46023</x:v>
      </x:c>
      <x:c r="B21" s="32" t="n">
        <x:v>46265</x:v>
      </x:c>
      <x:c r="C21" s="30" t="str">
        <x:v>Income</x:v>
      </x:c>
      <x:c r="D21" s="30" t="str">
        <x:v>Online product sales</x:v>
      </x:c>
      <x:c r="E21" s="30" t="str">
        <x:v>ACCOUNT</x:v>
      </x:c>
      <x:c r="F21" s="30" t="str">
        <x:v>ca-online-sales</x:v>
      </x:c>
      <x:c r="G21" s="31" t="n">
        <x:v>6630000</x:v>
      </x:c>
      <x:c r="H21" s="34" t="str">
        <x:v>66300.00</x:v>
      </x:c>
    </x:row>
    <x:row r="22">
      <x:c r="A22" s="32" t="n">
        <x:v>46023</x:v>
      </x:c>
      <x:c r="B22" s="32" t="n">
        <x:v>46265</x:v>
      </x:c>
      <x:c r="C22" s="30" t="str">
        <x:v>Income</x:v>
      </x:c>
      <x:c r="D22" s="30" t="str">
        <x:v>Sales returns and refunds</x:v>
      </x:c>
      <x:c r="E22" s="30" t="str">
        <x:v>ACCOUNT</x:v>
      </x:c>
      <x:c r="F22" s="30" t="str">
        <x:v>ca-sales-returns</x:v>
      </x:c>
      <x:c r="G22" s="31" t="n">
        <x:v>-343050</x:v>
      </x:c>
      <x:c r="H22" s="34" t="str">
        <x:v>-3430.50</x:v>
      </x:c>
    </x:row>
    <x:row r="23">
      <x:c r="A23" s="32" t="n">
        <x:v>46023</x:v>
      </x:c>
      <x:c r="B23" s="32" t="n">
        <x:v>46265</x:v>
      </x:c>
      <x:c r="C23" s="30" t="str">
        <x:v>Income</x:v>
      </x:c>
      <x:c r="D23" s="30" t="str">
        <x:v>Shipping income</x:v>
      </x:c>
      <x:c r="E23" s="30" t="str">
        <x:v>ACCOUNT</x:v>
      </x:c>
      <x:c r="F23" s="30" t="str">
        <x:v>ca-shipping-income</x:v>
      </x:c>
      <x:c r="G23" s="31" t="n">
        <x:v>72930</x:v>
      </x:c>
      <x:c r="H23" s="34" t="str">
        <x:v>729.30</x:v>
      </x:c>
    </x:row>
    <x:row r="24">
      <x:c r="A24" s="32" t="n">
        <x:v>46023</x:v>
      </x:c>
      <x:c r="B24" s="32" t="n">
        <x:v>46265</x:v>
      </x:c>
      <x:c r="C24" s="30" t="str">
        <x:v>Income</x:v>
      </x:c>
      <x:c r="D24" s="30" t="str">
        <x:v>Service income</x:v>
      </x:c>
      <x:c r="E24" s="30" t="str">
        <x:v>ACCOUNT</x:v>
      </x:c>
      <x:c r="F24" s="30" t="str">
        <x:v>ca-service-income</x:v>
      </x:c>
      <x:c r="G24" s="31" t="n">
        <x:v>65000</x:v>
      </x:c>
      <x:c r="H24" s="34" t="str">
        <x:v>650.00</x:v>
      </x:c>
    </x:row>
    <x:row r="25">
      <x:c r="A25" s="32" t="n">
        <x:v>46023</x:v>
      </x:c>
      <x:c r="B25" s="32" t="n">
        <x:v>46265</x:v>
      </x:c>
      <x:c r="C25" s="30" t="str">
        <x:v>Income</x:v>
      </x:c>
      <x:c r="D25" s="30" t="str">
        <x:v>Total Income</x:v>
      </x:c>
      <x:c r="E25" s="30" t="str">
        <x:v>TOTAL</x:v>
      </x:c>
      <x:c r="F25" s="30" t="str">
        <x:v>total-income</x:v>
      </x:c>
      <x:c r="G25" s="31" t="n">
        <x:v>6424880</x:v>
      </x:c>
      <x:c r="H25" s="34" t="str">
        <x:v>64248.80</x:v>
      </x:c>
    </x:row>
    <x:row r="26">
      <x:c r="A26" s="32" t="n">
        <x:v>46023</x:v>
      </x:c>
      <x:c r="B26" s="32" t="n">
        <x:v>46265</x:v>
      </x:c>
      <x:c r="C26" s="30" t="str">
        <x:v>Cogs</x:v>
      </x:c>
      <x:c r="D26" s="30" t="str">
        <x:v>Product costs</x:v>
      </x:c>
      <x:c r="E26" s="30" t="str">
        <x:v>ACCOUNT</x:v>
      </x:c>
      <x:c r="F26" s="30" t="str">
        <x:v>ca-product-costs</x:v>
      </x:c>
      <x:c r="G26" s="31" t="n">
        <x:v>-130000</x:v>
      </x:c>
      <x:c r="H26" s="34" t="str">
        <x:v>-1300.00</x:v>
      </x:c>
    </x:row>
    <x:row r="27">
      <x:c r="A27" s="32" t="n">
        <x:v>46023</x:v>
      </x:c>
      <x:c r="B27" s="32" t="n">
        <x:v>46265</x:v>
      </x:c>
      <x:c r="C27" s="30" t="str">
        <x:v>Cogs</x:v>
      </x:c>
      <x:c r="D27" s="30" t="str">
        <x:v>Fulfillment fees</x:v>
      </x:c>
      <x:c r="E27" s="30" t="str">
        <x:v>ACCOUNT</x:v>
      </x:c>
      <x:c r="F27" s="30" t="str">
        <x:v>ca-fulfillment-fees</x:v>
      </x:c>
      <x:c r="G27" s="31" t="n">
        <x:v>1417500</x:v>
      </x:c>
      <x:c r="H27" s="34" t="str">
        <x:v>14175.00</x:v>
      </x:c>
    </x:row>
    <x:row r="28">
      <x:c r="A28" s="32" t="n">
        <x:v>46023</x:v>
      </x:c>
      <x:c r="B28" s="32" t="n">
        <x:v>46265</x:v>
      </x:c>
      <x:c r="C28" s="30" t="str">
        <x:v>Cogs</x:v>
      </x:c>
      <x:c r="D28" s="30" t="str">
        <x:v>Total Cogs</x:v>
      </x:c>
      <x:c r="E28" s="30" t="str">
        <x:v>TOTAL</x:v>
      </x:c>
      <x:c r="F28" s="30" t="str">
        <x:v>total-cogs</x:v>
      </x:c>
      <x:c r="G28" s="31" t="n">
        <x:v>1287500</x:v>
      </x:c>
      <x:c r="H28" s="34" t="str">
        <x:v>12875.00</x:v>
      </x:c>
    </x:row>
    <x:row r="29">
      <x:c r="A29" s="32" t="n">
        <x:v>46023</x:v>
      </x:c>
      <x:c r="B29" s="32" t="n">
        <x:v>46265</x:v>
      </x:c>
      <x:c r="C29" s="30" t="str">
        <x:v>Expense</x:v>
      </x:c>
      <x:c r="D29" s="30" t="str">
        <x:v>Marketplace fees</x:v>
      </x:c>
      <x:c r="E29" s="30" t="str">
        <x:v>ACCOUNT</x:v>
      </x:c>
      <x:c r="F29" s="30" t="str">
        <x:v>ca-platform-fees-parent</x:v>
      </x:c>
      <x:c r="G29" s="31" t="n">
        <x:v>7500</x:v>
      </x:c>
      <x:c r="H29" s="34" t="str">
        <x:v>75.00</x:v>
      </x:c>
    </x:row>
    <x:row r="30">
      <x:c r="A30" s="32" t="n">
        <x:v>46023</x:v>
      </x:c>
      <x:c r="B30" s="32" t="n">
        <x:v>46265</x:v>
      </x:c>
      <x:c r="C30" s="30" t="str">
        <x:v>Expense</x:v>
      </x:c>
      <x:c r="D30" s="30" t="str">
        <x:v>Marketplace fees:Commissions</x:v>
      </x:c>
      <x:c r="E30" s="30" t="str">
        <x:v>ACCOUNT</x:v>
      </x:c>
      <x:c r="F30" s="30" t="str">
        <x:v>ca-commission-fees</x:v>
      </x:c>
      <x:c r="G30" s="31" t="n">
        <x:v>994500</x:v>
      </x:c>
      <x:c r="H30" s="34" t="str">
        <x:v>9945.00</x:v>
      </x:c>
    </x:row>
    <x:row r="31">
      <x:c r="A31" s="32" t="n">
        <x:v>46023</x:v>
      </x:c>
      <x:c r="B31" s="32" t="n">
        <x:v>46265</x:v>
      </x:c>
      <x:c r="C31" s="30" t="str">
        <x:v>Expense</x:v>
      </x:c>
      <x:c r="D31" s="30" t="str">
        <x:v>Marketplace fees:Storage</x:v>
      </x:c>
      <x:c r="E31" s="30" t="str">
        <x:v>ACCOUNT</x:v>
      </x:c>
      <x:c r="F31" s="30" t="str">
        <x:v>ca-storage-fees</x:v>
      </x:c>
      <x:c r="G31" s="31" t="n">
        <x:v>135600</x:v>
      </x:c>
      <x:c r="H31" s="34" t="str">
        <x:v>1356.00</x:v>
      </x:c>
    </x:row>
    <x:row r="32">
      <x:c r="A32" s="32" t="n">
        <x:v>46023</x:v>
      </x:c>
      <x:c r="B32" s="32" t="n">
        <x:v>46265</x:v>
      </x:c>
      <x:c r="C32" s="30" t="str">
        <x:v>Expense</x:v>
      </x:c>
      <x:c r="D32" s="30" t="str">
        <x:v>Advertising</x:v>
      </x:c>
      <x:c r="E32" s="30" t="str">
        <x:v>ACCOUNT</x:v>
      </x:c>
      <x:c r="F32" s="30" t="str">
        <x:v>ca-advertising</x:v>
      </x:c>
      <x:c r="G32" s="31" t="n">
        <x:v>90000</x:v>
      </x:c>
      <x:c r="H32" s="34" t="str">
        <x:v>900.00</x:v>
      </x:c>
    </x:row>
    <x:row r="33">
      <x:c r="A33" s="32" t="n">
        <x:v>46023</x:v>
      </x:c>
      <x:c r="B33" s="32" t="n">
        <x:v>46265</x:v>
      </x:c>
      <x:c r="C33" s="30" t="str">
        <x:v>Expense</x:v>
      </x:c>
      <x:c r="D33" s="30" t="str">
        <x:v>Software subscriptions</x:v>
      </x:c>
      <x:c r="E33" s="30" t="str">
        <x:v>ACCOUNT</x:v>
      </x:c>
      <x:c r="F33" s="30" t="str">
        <x:v>ca-software</x:v>
      </x:c>
      <x:c r="G33" s="31" t="n">
        <x:v>30000</x:v>
      </x:c>
      <x:c r="H33" s="34" t="str">
        <x:v>300.00</x:v>
      </x:c>
    </x:row>
    <x:row r="34">
      <x:c r="A34" s="32" t="n">
        <x:v>46023</x:v>
      </x:c>
      <x:c r="B34" s="32" t="n">
        <x:v>46265</x:v>
      </x:c>
      <x:c r="C34" s="30" t="str">
        <x:v>Expense</x:v>
      </x:c>
      <x:c r="D34" s="30" t="str">
        <x:v>Total Expense</x:v>
      </x:c>
      <x:c r="E34" s="30" t="str">
        <x:v>TOTAL</x:v>
      </x:c>
      <x:c r="F34" s="30" t="str">
        <x:v>total-expense</x:v>
      </x:c>
      <x:c r="G34" s="31" t="n">
        <x:v>1257600</x:v>
      </x:c>
      <x:c r="H34" s="34" t="str">
        <x:v>12576.00</x:v>
      </x:c>
    </x:row>
    <x:row r="35">
      <x:c r="A35" s="32" t="n">
        <x:v>46023</x:v>
      </x:c>
      <x:c r="B35" s="32" t="n">
        <x:v>46265</x:v>
      </x:c>
      <x:c r="C35" s="30" t="str">
        <x:v>Other_income</x:v>
      </x:c>
      <x:c r="D35" s="30" t="str">
        <x:v>Total Other_income</x:v>
      </x:c>
      <x:c r="E35" s="30" t="str">
        <x:v>TOTAL</x:v>
      </x:c>
      <x:c r="F35" s="30" t="str">
        <x:v>total-other_income</x:v>
      </x:c>
      <x:c r="G35" s="31" t="n">
        <x:v>0</x:v>
      </x:c>
      <x:c r="H35" s="34" t="str">
        <x:v>0.00</x:v>
      </x:c>
    </x:row>
    <x:row r="36">
      <x:c r="A36" s="32" t="n">
        <x:v>46023</x:v>
      </x:c>
      <x:c r="B36" s="32" t="n">
        <x:v>46265</x:v>
      </x:c>
      <x:c r="C36" s="30" t="str">
        <x:v>Other_expense</x:v>
      </x:c>
      <x:c r="D36" s="30" t="str">
        <x:v>Interest expense</x:v>
      </x:c>
      <x:c r="E36" s="30" t="str">
        <x:v>ACCOUNT</x:v>
      </x:c>
      <x:c r="F36" s="30" t="str">
        <x:v>ca-interest-expense</x:v>
      </x:c>
      <x:c r="G36" s="31" t="n">
        <x:v>10000</x:v>
      </x:c>
      <x:c r="H36" s="34" t="str">
        <x:v>100.00</x:v>
      </x:c>
    </x:row>
    <x:row r="37">
      <x:c r="A37" s="32" t="n">
        <x:v>46023</x:v>
      </x:c>
      <x:c r="B37" s="32" t="n">
        <x:v>46265</x:v>
      </x:c>
      <x:c r="C37" s="30" t="str">
        <x:v>Other_expense</x:v>
      </x:c>
      <x:c r="D37" s="30" t="str">
        <x:v>Total Other_expense</x:v>
      </x:c>
      <x:c r="E37" s="30" t="str">
        <x:v>TOTAL</x:v>
      </x:c>
      <x:c r="F37" s="30" t="str">
        <x:v>total-other_expense</x:v>
      </x:c>
      <x:c r="G37" s="31" t="n">
        <x:v>10000</x:v>
      </x:c>
      <x:c r="H37" s="34" t="str">
        <x:v>100.00</x:v>
      </x:c>
    </x:row>
    <x:row r="38">
      <x:c r="A38" s="32" t="n">
        <x:v>46023</x:v>
      </x:c>
      <x:c r="B38" s="32" t="n">
        <x:v>46265</x:v>
      </x:c>
      <x:c r="C38" s="30" t="str">
        <x:v>Net Profit</x:v>
      </x:c>
      <x:c r="D38" s="30" t="str">
        <x:v>Net Profit</x:v>
      </x:c>
      <x:c r="E38" s="30" t="str">
        <x:v>NET_PROFIT</x:v>
      </x:c>
      <x:c r="F38" s="30" t="str">
        <x:v>net-profit</x:v>
      </x:c>
      <x:c r="G38" s="31" t="n">
        <x:v>3869780</x:v>
      </x:c>
      <x:c r="H38" s="34" t="str">
        <x:v>38697.80</x:v>
      </x:c>
    </x:row>
  </x:sheetData>
  <x:pageMargins left="0.7" right="0.7" top="0.75" bottom="0.75" header="0.3" footer="0.3"/>
</x:worksheet>
</file>